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61eec56eb448f0" /></Relationships>
</file>

<file path=xl/workbook.xml><?xml version="1.0" encoding="utf-8"?>
<x:workbook xmlns:x="http://schemas.openxmlformats.org/spreadsheetml/2006/main">
  <x:sheets>
    <x:sheet xmlns:r="http://schemas.openxmlformats.org/officeDocument/2006/relationships" name="Master plan" sheetId="1" r:id="R0f044b98e7ca4a5a"/>
    <x:sheet xmlns:r="http://schemas.openxmlformats.org/officeDocument/2006/relationships" name="Nhân sự dự án" sheetId="2" r:id="R11fff2a502d84aa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dd/mm/yyyy"/>
    <x:numFmt numFmtId="165" formatCode="0%"/>
  </x:numFmts>
  <x:fonts count="4">
    <x:font>
      <x:sz val="10"/>
      <x:color rgb="FF262626"/>
      <x:name val="Aptos"/>
    </x:font>
    <x:font>
      <x:b/>
      <x:sz val="16"/>
      <x:color rgb="FFFFFFFF"/>
      <x:name val="Aptos"/>
    </x:font>
    <x:font>
      <x:b/>
      <x:sz val="11"/>
      <x:color rgb="FFFFFFFF"/>
      <x:name val="Aptos"/>
    </x:font>
    <x:font>
      <x:b/>
      <x:sz val="11"/>
      <x:color rgb="FF193A58"/>
      <x:name val="Aptos"/>
    </x:font>
  </x:fonts>
  <x:fills count="6">
    <x:fill>
      <x:patternFill patternType="none"/>
    </x:fill>
    <x:fill>
      <x:patternFill patternType="gray125"/>
    </x:fill>
    <x:fill>
      <x:patternFill patternType="solid">
        <x:fgColor rgb="FF193A58"/>
      </x:patternFill>
    </x:fill>
    <x:fill>
      <x:patternFill patternType="solid">
        <x:fgColor rgb="FFEAF0F6"/>
      </x:patternFill>
    </x:fill>
    <x:fill>
      <x:patternFill patternType="solid">
        <x:fgColor rgb="FFF3F5F8"/>
      </x:patternFill>
    </x:fill>
    <x:fill>
      <x:patternFill patternType="solid">
        <x:fgColor rgb="FFE7F3EF"/>
      </x:patternFill>
    </x:fill>
  </x:fills>
  <x:borders count="4">
    <x:border/>
    <x:border>
      <x:left style="hair">
        <x:color rgb="FFDEE5EC"/>
      </x:left>
      <x:right style="hair">
        <x:color rgb="FFDEE5EC"/>
      </x:right>
      <x:top style="hair">
        <x:color rgb="FFDEE5EC"/>
      </x:top>
      <x:bottom style="hair">
        <x:color rgb="FFDEE5EC"/>
      </x:bottom>
    </x:border>
    <x:border/>
    <x:border>
      <x:left style="hair">
        <x:color rgb="FFDEE5EC"/>
      </x:left>
      <x:right style="hair">
        <x:color rgb="FFDEE5EC"/>
      </x:right>
      <x:top style="hair">
        <x:color rgb="FFDEE5EC"/>
      </x:top>
      <x:bottom style="hair">
        <x:color rgb="FFDEE5EC"/>
      </x:bottom>
    </x:border>
  </x:borders>
  <x:cellStyleXfs count="1">
    <x:xf numFmtId="0" fontId="0" fillId="0" borderId="0"/>
  </x:cellStyleXfs>
  <x:cellXfs count="29">
    <x:xf numFmtId="0" fontId="0" fillId="0" borderId="0" xfId="0"/>
    <x:xf numFmtId="0" fontId="1" fillId="2" borderId="0" xfId="0" applyFont="1" applyFill="1"/>
    <x:xf numFmtId="0" fontId="3" fillId="3" borderId="0" xfId="0" applyFont="1" applyFill="1"/>
    <x:xf numFmtId="0" fontId="2" fillId="2" borderId="1" xfId="0" applyAlignment="1">
      <x:alignment horizontal="center" vertical="center" wrapText="1"/>
    </x:xf>
    <x:xf numFmtId="0" fontId="0" fillId="0" borderId="1" xfId="0" applyAlignment="1">
      <x:alignment vertical="center" wrapText="1"/>
    </x:xf>
    <x:xf numFmtId="0" fontId="0" fillId="4" borderId="1" xfId="0" applyAlignment="1">
      <x:alignment vertical="center" wrapText="1"/>
    </x:xf>
    <x:xf numFmtId="164" fontId="0" fillId="0" borderId="1" xfId="0" applyNumberFormat="1" applyAlignment="1">
      <x:alignment horizontal="right" vertical="center"/>
    </x:xf>
    <x:xf numFmtId="164" fontId="0" fillId="4" borderId="1" xfId="0" applyNumberFormat="1" applyAlignment="1">
      <x:alignment horizontal="right" vertical="center"/>
    </x:xf>
    <x:xf numFmtId="0" fontId="0" fillId="0" borderId="1" xfId="0" applyAlignment="1">
      <x:alignment horizontal="center" vertical="center" wrapText="1"/>
    </x:xf>
    <x:xf numFmtId="0" fontId="0" fillId="4" borderId="1" xfId="0" applyAlignment="1">
      <x:alignment horizontal="center" vertical="center" wrapText="1"/>
    </x:xf>
    <x:xf numFmtId="165" fontId="0" fillId="0" borderId="1" xfId="0" applyNumberFormat="1" applyAlignment="1">
      <x:alignment horizontal="right" vertical="center"/>
    </x:xf>
    <x:xf numFmtId="165" fontId="0" fillId="4" borderId="1" xfId="0" applyNumberFormat="1" applyAlignment="1">
      <x:alignment horizontal="right" vertical="center"/>
    </x:xf>
    <x:xf numFmtId="0" fontId="3" fillId="5" borderId="1" xfId="0"/>
    <x:xf numFmtId="0" fontId="3" fillId="3" borderId="0" xfId="0"/>
    <x:xf numFmtId="0" fontId="0" fillId="0" borderId="2" xfId="0" applyNumberFormat="1" applyFont="1" applyFill="1" applyBorder="1"/>
    <x:xf numFmtId="0" fontId="1" fillId="2" borderId="2" xfId="0" applyNumberFormat="1" applyFont="1" applyFill="1" applyBorder="1"/>
    <x:xf numFmtId="0" fontId="3" fillId="3" borderId="2" xfId="0" applyNumberFormat="1" applyFont="1" applyFill="1" applyBorder="1"/>
    <x:xf numFmtId="0" fontId="2" fillId="2" borderId="3" xfId="0" applyNumberFormat="1" applyFont="1" applyFill="1" applyBorder="1" applyAlignment="1">
      <x:alignment horizontal="center" vertical="center" wrapText="1"/>
    </x:xf>
    <x:xf numFmtId="0" fontId="0" fillId="0" borderId="3" xfId="0" applyNumberFormat="1" applyFont="1" applyFill="1" applyBorder="1" applyAlignment="1">
      <x:alignment vertical="center" wrapText="1"/>
    </x:xf>
    <x:xf numFmtId="0" fontId="0" fillId="4" borderId="3" xfId="0" applyNumberFormat="1" applyFont="1" applyFill="1" applyBorder="1" applyAlignment="1">
      <x:alignment vertical="center" wrapText="1"/>
    </x:xf>
    <x:xf numFmtId="164" fontId="0" fillId="0" borderId="3" xfId="0" applyNumberFormat="1" applyFont="1" applyFill="1" applyBorder="1" applyAlignment="1">
      <x:alignment horizontal="right" vertical="center"/>
    </x:xf>
    <x:xf numFmtId="164" fontId="0" fillId="4" borderId="3" xfId="0" applyNumberFormat="1" applyFont="1" applyFill="1" applyBorder="1" applyAlignment="1">
      <x:alignment horizontal="right" vertical="center"/>
    </x:xf>
    <x:xf numFmtId="0" fontId="0" fillId="0" borderId="3" xfId="0" applyNumberFormat="1" applyFont="1" applyFill="1" applyBorder="1" applyAlignment="1">
      <x:alignment horizontal="center" vertical="center" wrapText="1"/>
    </x:xf>
    <x:xf numFmtId="0" fontId="0" fillId="4" borderId="3" xfId="0" applyNumberFormat="1" applyFont="1" applyFill="1" applyBorder="1" applyAlignment="1">
      <x:alignment horizontal="center" vertical="center" wrapText="1"/>
    </x:xf>
    <x:xf numFmtId="165" fontId="0" fillId="0" borderId="3" xfId="0" applyNumberFormat="1" applyFont="1" applyFill="1" applyBorder="1" applyAlignment="1">
      <x:alignment horizontal="right" vertical="center"/>
    </x:xf>
    <x:xf numFmtId="165" fontId="0" fillId="4" borderId="3" xfId="0" applyNumberFormat="1" applyFont="1" applyFill="1" applyBorder="1" applyAlignment="1">
      <x:alignment horizontal="right" vertical="center"/>
    </x:xf>
    <x:xf numFmtId="0" fontId="3" fillId="5" borderId="3" xfId="0" applyNumberFormat="1" applyFont="1" applyFill="1" applyBorder="1"/>
    <x:xf numFmtId="164" fontId="0" fillId="0" borderId="1" xfId="0" applyNumberFormat="1" applyFont="1" applyFill="1" applyBorder="1" applyAlignment="1">
      <x:alignment horizontal="right" vertical="center"/>
    </x:xf>
    <x:xf numFmtId="164" fontId="0" fillId="4" borderId="1"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83b6a4ac9543d7" /><Relationship Type="http://schemas.openxmlformats.org/officeDocument/2006/relationships/theme" Target="/xl/theme/theme1.xml" Id="R9b7ada1e29eb4291" /><Relationship Type="http://schemas.openxmlformats.org/officeDocument/2006/relationships/sharedStrings" Target="/xl/sharedStrings.xml" Id="Rd5c3f0a0a7884e1b" /><Relationship Type="http://schemas.openxmlformats.org/officeDocument/2006/relationships/worksheet" Target="/xl/worksheets/sheet1.xml" Id="R0f044b98e7ca4a5a" /><Relationship Type="http://schemas.openxmlformats.org/officeDocument/2006/relationships/worksheet" Target="/xl/worksheets/sheet2.xml" Id="R11fff2a502d84a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20"/>
  <x:cols>
    <x:col min="1" max="1" width="7" customWidth="1"/>
    <x:col min="2" max="2" width="19" customWidth="1"/>
    <x:col min="3" max="3" width="13" customWidth="1"/>
    <x:col min="4" max="4" width="9" customWidth="1"/>
    <x:col min="5" max="5" width="20" customWidth="1"/>
    <x:col min="6" max="6" width="47" customWidth="1"/>
    <x:col min="7" max="7" width="90" customWidth="1"/>
    <x:col min="8" max="8" width="27" customWidth="1"/>
    <x:col min="9" max="9" width="38" customWidth="1"/>
    <x:col min="10" max="10" width="17" customWidth="1"/>
    <x:col min="11" max="11" width="17" customWidth="1"/>
    <x:col min="12" max="12" width="11" customWidth="1"/>
    <x:col min="13" max="13" width="14" customWidth="1"/>
    <x:col min="14" max="14" width="18" customWidth="1"/>
    <x:col min="15" max="15" width="17" customWidth="1"/>
    <x:col min="16" max="16" width="47" customWidth="1"/>
    <x:col min="17" max="17" width="24" customWidth="1"/>
    <x:col min="18" max="18" width="28" customWidth="1"/>
  </x:cols>
  <x:sheetData>
    <x:row r="1" ht="35" customHeight="1">
      <x:c r="A1" s="1" t="inlineStr">
        <x:is>
          <x:t xml:space="preserve">SMARTEXPENSE 2.0 – MASTER PLAN / 15 NGÀY LÀM VIỆC</x:t>
        </x:is>
      </x:c>
    </x:row>
    <x:row r="2" ht="28" customHeight="1">
      <x:c r="A2" s="2" t="str">
        <x:v>D01: 27/10/2026 | Đợt 1: 27/10–01/11 (4 ngày làm việc) | Đợt 2: 02–06/11 | Đợt 3: 09–13/11 | D15: 16/11 | Dự phòng: 23–27/11</x:v>
      </x:c>
    </x:row>
    <x:row r="3" ht="27" customHeight="1">
      <x:c r="A3" s="13" t="str">
        <x:v>3 thành viên × 15 ngày làm việc = 45 task; 27/10 chuẩn bị và làm D01; trình duyệt danh sách đầu sáng 28/10/2026</x:v>
      </x:c>
    </x:row>
    <x:row r="4" ht="25" customHeight="1">
      <x:c r="A4" s="13" t="inlineStr">
        <x:is>
          <x:t xml:space="preserve">Đã xong:</x:t>
        </x:is>
      </x:c>
      <x:c r="B4" s="12" t="n">
        <x:f>COUNTIF(N6:N50,"Hoàn thành")</x:f>
        <x:v>0</x:v>
      </x:c>
      <x:c r="D4" s="13" t="inlineStr">
        <x:is>
          <x:t xml:space="preserve">Đang làm:</x:t>
        </x:is>
      </x:c>
      <x:c r="E4" s="12" t="n">
        <x:f>COUNTIF(N6:N50,"Đang làm")</x:f>
        <x:v>0</x:v>
      </x:c>
      <x:c r="G4" s="13" t="inlineStr">
        <x:is>
          <x:t xml:space="preserve">Chưa làm:</x:t>
        </x:is>
      </x:c>
      <x:c r="H4" s="12" t="n">
        <x:f>COUNTIF(N6:N50,"Chưa làm")</x:f>
        <x:v>45</x:v>
      </x:c>
      <x:c r="J4" s="13" t="inlineStr">
        <x:is>
          <x:t xml:space="preserve">Tiến độ:</x:t>
        </x:is>
      </x:c>
      <x:c r="K4" s="10" t="n">
        <x:f>AVERAGE(O6:O50)</x:f>
        <x:v>0</x:v>
      </x:c>
    </x:row>
    <x:row r="5" ht="39" customHeight="1">
      <x:c r="A5" s="3" t="inlineStr">
        <x:is>
          <x:t xml:space="preserve">STT</x:t>
        </x:is>
      </x:c>
      <x:c r="B5" s="3" t="inlineStr">
        <x:is>
          <x:t xml:space="preserve">Mã task</x:t>
        </x:is>
      </x:c>
      <x:c r="C5" s="3" t="str">
        <x:v>Giai đoạn</x:v>
      </x:c>
      <x:c r="D5" s="3" t="inlineStr">
        <x:is>
          <x:t xml:space="preserve">Ngày</x:t>
        </x:is>
      </x:c>
      <x:c r="E5" s="3" t="inlineStr">
        <x:is>
          <x:t xml:space="preserve">Mã SRS/FR</x:t>
        </x:is>
      </x:c>
      <x:c r="F5" s="3" t="inlineStr">
        <x:is>
          <x:t xml:space="preserve">Công việc chính</x:t>
        </x:is>
      </x:c>
      <x:c r="G5" s="3" t="inlineStr">
        <x:is>
          <x:t xml:space="preserve">4 bước thực hiện cụ thể</x:t>
        </x:is>
      </x:c>
      <x:c r="H5" s="3" t="inlineStr">
        <x:is>
          <x:t xml:space="preserve">Phụ trách</x:t>
        </x:is>
      </x:c>
      <x:c r="I5" s="3" t="inlineStr">
        <x:is>
          <x:t xml:space="preserve">Nhánh Git</x:t>
        </x:is>
      </x:c>
      <x:c r="J5" s="3" t="inlineStr">
        <x:is>
          <x:t xml:space="preserve">Bắt đầu</x:t>
        </x:is>
      </x:c>
      <x:c r="K5" s="3" t="inlineStr">
        <x:is>
          <x:t xml:space="preserve">Due date</x:t>
        </x:is>
      </x:c>
      <x:c r="L5" s="3" t="inlineStr">
        <x:is>
          <x:t xml:space="preserve">Số ngày</x:t>
        </x:is>
      </x:c>
      <x:c r="M5" s="3" t="inlineStr">
        <x:is>
          <x:t xml:space="preserve">Ưu tiên</x:t>
        </x:is>
      </x:c>
      <x:c r="N5" s="3" t="inlineStr">
        <x:is>
          <x:t xml:space="preserve">Trạng thái</x:t>
        </x:is>
      </x:c>
      <x:c r="O5" s="3" t="inlineStr">
        <x:is>
          <x:t xml:space="preserve">Tiến độ (%)</x:t>
        </x:is>
      </x:c>
      <x:c r="P5" s="3" t="inlineStr">
        <x:is>
          <x:t xml:space="preserve">Đầu ra cần đạt</x:t>
        </x:is>
      </x:c>
      <x:c r="Q5" s="3" t="inlineStr">
        <x:is>
          <x:t xml:space="preserve">PR / Commit</x:t>
        </x:is>
      </x:c>
      <x:c r="R5" s="3" t="inlineStr">
        <x:is>
          <x:t xml:space="preserve">Bằng chứng QA</x:t>
        </x:is>
      </x:c>
    </x:row>
    <x:row r="6" ht="80" customHeight="1">
      <x:c r="A6" s="8">
        <x:v>1</x:v>
      </x:c>
      <x:c r="B6" s="8" t="inlineStr">
        <x:is>
          <x:t xml:space="preserve">SE2-D01-BE</x:t>
        </x:is>
      </x:c>
      <x:c r="C6" s="8" t="str">
        <x:v>Đợt 1</x:v>
      </x:c>
      <x:c r="D6" s="8" t="inlineStr">
        <x:is>
          <x:t xml:space="preserve">D01</x:t>
        </x:is>
      </x:c>
      <x:c r="E6" s="8" t="inlineStr">
        <x:is>
          <x:t xml:space="preserve">FR-01,FR-05,FR-12</x:t>
        </x:is>
      </x:c>
      <x:c r="F6" s="4" t="inlineStr">
        <x:is>
          <x:t xml:space="preserve">Rà soát MVP &amp; lập API contract SmartExpense 2.0</x:t>
        </x:is>
      </x:c>
      <x:c r="G6" s="4" t="inlineStr">
        <x:is>
          <x:t xml:space="preserve">1. Đối chiếu nhánh main/dev với SRS MVP
2. Liệt kê API giữ nguyên và điểm cần sửa
3. Chốt request/response cho 6 chức năng mới
4. Ghi danh sách rủi ro và xác nhận hợp đồng API</x:t>
        </x:is>
      </x:c>
      <x:c r="H6" s="4" t="inlineStr">
        <x:is>
          <x:t xml:space="preserve">Tô Anh Tuấn</x:t>
        </x:is>
      </x:c>
      <x:c r="I6" s="4" t="str">
        <x:v>feature/tuan</x:v>
      </x:c>
      <x:c r="J6" s="27" t="n">
        <x:v>46322</x:v>
      </x:c>
      <x:c r="K6" s="27" t="n">
        <x:v>46322</x:v>
      </x:c>
      <x:c r="L6" s="8">
        <x:v>1</x:v>
      </x:c>
      <x:c r="M6" s="8" t="inlineStr">
        <x:is>
          <x:t xml:space="preserve">Cao</x:t>
        </x:is>
      </x:c>
      <x:c r="N6" s="8" t="inlineStr">
        <x:is>
          <x:t xml:space="preserve">Chưa làm</x:t>
        </x:is>
      </x:c>
      <x:c r="O6" s="10">
        <x:v>0</x:v>
      </x:c>
      <x:c r="P6" s="4" t="inlineStr">
        <x:is>
          <x:t xml:space="preserve">Bảng API contract và danh sách thay đổi được duyệt</x:t>
        </x:is>
      </x:c>
      <x:c r="Q6" s="4" t="inlineStr">
        <x:is>
          <x:t xml:space="preserve"/>
        </x:is>
      </x:c>
      <x:c r="R6" s="4" t="inlineStr">
        <x:is>
          <x:t xml:space="preserve"/>
        </x:is>
      </x:c>
    </x:row>
    <x:row r="7" ht="80" customHeight="1">
      <x:c r="A7" s="9">
        <x:v>2</x:v>
      </x:c>
      <x:c r="B7" s="9" t="inlineStr">
        <x:is>
          <x:t xml:space="preserve">SE2-D01-FE</x:t>
        </x:is>
      </x:c>
      <x:c r="C7" s="9" t="str">
        <x:v>Đợt 1</x:v>
      </x:c>
      <x:c r="D7" s="9" t="inlineStr">
        <x:is>
          <x:t xml:space="preserve">D01</x:t>
        </x:is>
      </x:c>
      <x:c r="E7" s="9" t="inlineStr">
        <x:is>
          <x:t xml:space="preserve">FR-03,FR-04,FR-11</x:t>
        </x:is>
      </x:c>
      <x:c r="F7" s="5" t="inlineStr">
        <x:is>
          <x:t xml:space="preserve">Phác thảo UX và sitemap 5 màn hình</x:t>
        </x:is>
      </x:c>
      <x:c r="G7" s="5" t="inlineStr">
        <x:is>
          <x:t xml:space="preserve">1. Kiểm tra luồng 3 bước nhập thu/chi hiện tại
2. Thiết kế wireframe Dashboard, Lịch, Thu chi, Ngân sách, Báo cáo
3. Thiết kế mobile bottom-navigation và Quick Add
4. Thống nhất danh sách component dùng lại</x:t>
        </x:is>
      </x:c>
      <x:c r="H7" s="5" t="inlineStr">
        <x:is>
          <x:t xml:space="preserve">Trần Thị Thu Trang</x:t>
        </x:is>
      </x:c>
      <x:c r="I7" s="5" t="str">
        <x:v>feature/trang</x:v>
      </x:c>
      <x:c r="J7" s="28" t="n">
        <x:v>46322</x:v>
      </x:c>
      <x:c r="K7" s="28" t="n">
        <x:v>46322</x:v>
      </x:c>
      <x:c r="L7" s="9">
        <x:v>1</x:v>
      </x:c>
      <x:c r="M7" s="9" t="inlineStr">
        <x:is>
          <x:t xml:space="preserve">Cao</x:t>
        </x:is>
      </x:c>
      <x:c r="N7" s="9" t="inlineStr">
        <x:is>
          <x:t xml:space="preserve">Chưa làm</x:t>
        </x:is>
      </x:c>
      <x:c r="O7" s="11">
        <x:v>0</x:v>
      </x:c>
      <x:c r="P7" s="5" t="inlineStr">
        <x:is>
          <x:t xml:space="preserve">Wireframe và sơ đồ điều hướng được thống nhất</x:t>
        </x:is>
      </x:c>
      <x:c r="Q7" s="5" t="inlineStr">
        <x:is>
          <x:t xml:space="preserve"/>
        </x:is>
      </x:c>
      <x:c r="R7" s="5" t="inlineStr">
        <x:is>
          <x:t xml:space="preserve"/>
        </x:is>
      </x:c>
    </x:row>
    <x:row r="8" ht="80" customHeight="1">
      <x:c r="A8" s="8">
        <x:v>3</x:v>
      </x:c>
      <x:c r="B8" s="8" t="inlineStr">
        <x:is>
          <x:t xml:space="preserve">SE2-D01-DB</x:t>
        </x:is>
      </x:c>
      <x:c r="C8" s="8" t="str">
        <x:v>Đợt 1</x:v>
      </x:c>
      <x:c r="D8" s="8" t="inlineStr">
        <x:is>
          <x:t xml:space="preserve">D01</x:t>
        </x:is>
      </x:c>
      <x:c r="E8" s="8" t="inlineStr">
        <x:is>
          <x:t xml:space="preserve">FR-12</x:t>
        </x:is>
      </x:c>
      <x:c r="F8" s="4" t="inlineStr">
        <x:is>
          <x:t xml:space="preserve">Baseline dữ liệu, backup và test plan</x:t>
        </x:is>
      </x:c>
      <x:c r="G8" s="4" t="inlineStr">
        <x:is>
          <x:t xml:space="preserve">1. Lập bản sao MySQL an toàn và kiểm tra khả năng khôi phục
2. Kiểm tra dữ liệu seed và toàn vẹn FK
3. Lập ma trận kiểm thử cho FR-01–FR-12
4. Xác định migration có thể rollback</x:t>
        </x:is>
      </x:c>
      <x:c r="H8" s="4" t="inlineStr">
        <x:is>
          <x:t xml:space="preserve">Phạm Hương Quỳnh</x:t>
        </x:is>
      </x:c>
      <x:c r="I8" s="4" t="str">
        <x:v>feature/quynh</x:v>
      </x:c>
      <x:c r="J8" s="27" t="n">
        <x:v>46322</x:v>
      </x:c>
      <x:c r="K8" s="27" t="n">
        <x:v>46322</x:v>
      </x:c>
      <x:c r="L8" s="8">
        <x:v>1</x:v>
      </x:c>
      <x:c r="M8" s="8" t="inlineStr">
        <x:is>
          <x:t xml:space="preserve">Cao</x:t>
        </x:is>
      </x:c>
      <x:c r="N8" s="8" t="inlineStr">
        <x:is>
          <x:t xml:space="preserve">Chưa làm</x:t>
        </x:is>
      </x:c>
      <x:c r="O8" s="10">
        <x:v>0</x:v>
      </x:c>
      <x:c r="P8" s="4" t="inlineStr">
        <x:is>
          <x:t xml:space="preserve">Backup được kiểm chứng, test plan có mã TC</x:t>
        </x:is>
      </x:c>
      <x:c r="Q8" s="4" t="inlineStr">
        <x:is>
          <x:t xml:space="preserve"/>
        </x:is>
      </x:c>
      <x:c r="R8" s="4" t="inlineStr">
        <x:is>
          <x:t xml:space="preserve"/>
        </x:is>
      </x:c>
    </x:row>
    <x:row r="9" ht="80" customHeight="1">
      <x:c r="A9" s="9">
        <x:v>4</x:v>
      </x:c>
      <x:c r="B9" s="9" t="inlineStr">
        <x:is>
          <x:t xml:space="preserve">SE2-D02-BE</x:t>
        </x:is>
      </x:c>
      <x:c r="C9" s="9" t="str">
        <x:v>Đợt 1</x:v>
      </x:c>
      <x:c r="D9" s="9" t="inlineStr">
        <x:is>
          <x:t xml:space="preserve">D02</x:t>
        </x:is>
      </x:c>
      <x:c r="E9" s="9" t="inlineStr">
        <x:is>
          <x:t xml:space="preserve">FR-01,FR-12</x:t>
        </x:is>
      </x:c>
      <x:c r="F9" s="5" t="inlineStr">
        <x:is>
          <x:t xml:space="preserve">Xử lý JWT/session và chuẩn hóa API lỗi</x:t>
        </x:is>
      </x:c>
      <x:c r="G9" s="5" t="inlineStr">
        <x:is>
          <x:t xml:space="preserve">1. Kiểm tra JWT hết hạn và 401/403/404/409
2. Không tin userId client; rà soát kiểm tra sở hữu
3. Chuẩn hóa body lỗi để frontend hiện toast
4. Viết test login sai, email trùng, token hết hạn</x:t>
        </x:is>
      </x:c>
      <x:c r="H9" s="5" t="inlineStr">
        <x:is>
          <x:t xml:space="preserve">Tô Anh Tuấn</x:t>
        </x:is>
      </x:c>
      <x:c r="I9" s="5" t="str">
        <x:v>feature/tuan</x:v>
      </x:c>
      <x:c r="J9" s="28" t="n">
        <x:v>46323</x:v>
      </x:c>
      <x:c r="K9" s="28" t="n">
        <x:v>46323</x:v>
      </x:c>
      <x:c r="L9" s="9">
        <x:v>1</x:v>
      </x:c>
      <x:c r="M9" s="9" t="inlineStr">
        <x:is>
          <x:t xml:space="preserve">Cao</x:t>
        </x:is>
      </x:c>
      <x:c r="N9" s="9" t="inlineStr">
        <x:is>
          <x:t xml:space="preserve">Chưa làm</x:t>
        </x:is>
      </x:c>
      <x:c r="O9" s="11">
        <x:v>0</x:v>
      </x:c>
      <x:c r="P9" s="5" t="inlineStr">
        <x:is>
          <x:t xml:space="preserve">Bộ API Auth ổn định và test kết quả</x:t>
        </x:is>
      </x:c>
      <x:c r="Q9" s="5" t="inlineStr">
        <x:is>
          <x:t xml:space="preserve"/>
        </x:is>
      </x:c>
      <x:c r="R9" s="5" t="inlineStr">
        <x:is>
          <x:t xml:space="preserve"/>
        </x:is>
      </x:c>
    </x:row>
    <x:row r="10" ht="80" customHeight="1">
      <x:c r="A10" s="8">
        <x:v>5</x:v>
      </x:c>
      <x:c r="B10" s="8" t="inlineStr">
        <x:is>
          <x:t xml:space="preserve">SE2-D02-FE</x:t>
        </x:is>
      </x:c>
      <x:c r="C10" s="8" t="str">
        <x:v>Đợt 1</x:v>
      </x:c>
      <x:c r="D10" s="8" t="inlineStr">
        <x:is>
          <x:t xml:space="preserve">D02</x:t>
        </x:is>
      </x:c>
      <x:c r="E10" s="8" t="inlineStr">
        <x:is>
          <x:t xml:space="preserve">FR-03,FR-11</x:t>
        </x:is>
      </x:c>
      <x:c r="F10" s="4" t="inlineStr">
        <x:is>
          <x:t xml:space="preserve">Xây dựng Quick Add form trên React</x:t>
        </x:is>
      </x:c>
      <x:c r="G10" s="4" t="inlineStr">
        <x:is>
          <x:t xml:space="preserve">1. Tạo modal nhập thu chi ít bước
2. Định dạng tiền VND và hỗ trợ phím số
3. Chọn ngày và danh mục phù hợp loại giao dịch
4. Thêm validation client, loading và thông báo</x:t>
        </x:is>
      </x:c>
      <x:c r="H10" s="4" t="inlineStr">
        <x:is>
          <x:t xml:space="preserve">Trần Thị Thu Trang</x:t>
        </x:is>
      </x:c>
      <x:c r="I10" s="4" t="str">
        <x:v>feature/trang</x:v>
      </x:c>
      <x:c r="J10" s="27" t="n">
        <x:v>46323</x:v>
      </x:c>
      <x:c r="K10" s="27" t="n">
        <x:v>46323</x:v>
      </x:c>
      <x:c r="L10" s="8">
        <x:v>1</x:v>
      </x:c>
      <x:c r="M10" s="8" t="inlineStr">
        <x:is>
          <x:t xml:space="preserve">Cao</x:t>
        </x:is>
      </x:c>
      <x:c r="N10" s="8" t="inlineStr">
        <x:is>
          <x:t xml:space="preserve">Chưa làm</x:t>
        </x:is>
      </x:c>
      <x:c r="O10" s="10">
        <x:v>0</x:v>
      </x:c>
      <x:c r="P10" s="4" t="inlineStr">
        <x:is>
          <x:t xml:space="preserve">Quick Add component trên nhánh FE</x:t>
        </x:is>
      </x:c>
      <x:c r="Q10" s="4" t="inlineStr">
        <x:is>
          <x:t xml:space="preserve"/>
        </x:is>
      </x:c>
      <x:c r="R10" s="4" t="inlineStr">
        <x:is>
          <x:t xml:space="preserve"/>
        </x:is>
      </x:c>
    </x:row>
    <x:row r="11" ht="80" customHeight="1">
      <x:c r="A11" s="9">
        <x:v>6</x:v>
      </x:c>
      <x:c r="B11" s="9" t="inlineStr">
        <x:is>
          <x:t xml:space="preserve">SE2-D02-DB</x:t>
        </x:is>
      </x:c>
      <x:c r="C11" s="9" t="str">
        <x:v>Đợt 1</x:v>
      </x:c>
      <x:c r="D11" s="9" t="inlineStr">
        <x:is>
          <x:t xml:space="preserve">D02</x:t>
        </x:is>
      </x:c>
      <x:c r="E11" s="9" t="inlineStr">
        <x:is>
          <x:t xml:space="preserve">FR-01,FR-02,FR-12</x:t>
        </x:is>
      </x:c>
      <x:c r="F11" s="5" t="inlineStr">
        <x:is>
          <x:t xml:space="preserve">Chuẩn bị migration danh mục và kiểm thử Auth</x:t>
        </x:is>
      </x:c>
      <x:c r="G11" s="5" t="inlineStr">
        <x:is>
          <x:t xml:space="preserve">1. Kiểm tra backup trước đổi schema
2. Thiết kế cột icon/color và mặc định an toàn
3. Test JWT trái quyền, 401 và dữ liệu giữa hai tài khoản
4. Kiểm tra tài nguyên MySQL Docker</x:t>
        </x:is>
      </x:c>
      <x:c r="H11" s="5" t="inlineStr">
        <x:is>
          <x:t xml:space="preserve">Phạm Hương Quỳnh</x:t>
        </x:is>
      </x:c>
      <x:c r="I11" s="5" t="str">
        <x:v>feature/quynh</x:v>
      </x:c>
      <x:c r="J11" s="28" t="n">
        <x:v>46323</x:v>
      </x:c>
      <x:c r="K11" s="28" t="n">
        <x:v>46323</x:v>
      </x:c>
      <x:c r="L11" s="9">
        <x:v>1</x:v>
      </x:c>
      <x:c r="M11" s="9" t="inlineStr">
        <x:is>
          <x:t xml:space="preserve">Cao</x:t>
        </x:is>
      </x:c>
      <x:c r="N11" s="9" t="inlineStr">
        <x:is>
          <x:t xml:space="preserve">Chưa làm</x:t>
        </x:is>
      </x:c>
      <x:c r="O11" s="11">
        <x:v>0</x:v>
      </x:c>
      <x:c r="P11" s="5" t="inlineStr">
        <x:is>
          <x:t xml:space="preserve">Kịch bản migration, kết quả test Auth</x:t>
        </x:is>
      </x:c>
      <x:c r="Q11" s="5" t="inlineStr">
        <x:is>
          <x:t xml:space="preserve"/>
        </x:is>
      </x:c>
      <x:c r="R11" s="5" t="inlineStr">
        <x:is>
          <x:t xml:space="preserve"/>
        </x:is>
      </x:c>
    </x:row>
    <x:row r="12" ht="80" customHeight="1">
      <x:c r="A12" s="8">
        <x:v>7</x:v>
      </x:c>
      <x:c r="B12" s="8" t="inlineStr">
        <x:is>
          <x:t xml:space="preserve">SE2-D03-BE</x:t>
        </x:is>
      </x:c>
      <x:c r="C12" s="8" t="str">
        <x:v>Đợt 1</x:v>
      </x:c>
      <x:c r="D12" s="8" t="inlineStr">
        <x:is>
          <x:t xml:space="preserve">D03</x:t>
        </x:is>
      </x:c>
      <x:c r="E12" s="8" t="inlineStr">
        <x:is>
          <x:t xml:space="preserve">FR-03,FR-05</x:t>
        </x:is>
      </x:c>
      <x:c r="F12" s="4" t="inlineStr">
        <x:is>
          <x:t xml:space="preserve">Hoàn thiện API tạo giao dịch và kiểm tra đầu vào</x:t>
        </x:is>
      </x:c>
      <x:c r="G12" s="4" t="inlineStr">
        <x:is>
          <x:t xml:space="preserve">1. Kiểm tra amount &gt; 0, ngày hợp lệ, note
2. Danh mục phải cùng type và thuộc user
3. Chuẩn hóa DTO và lỗi nhập trùng/sai
4. Viết integration test tạo giao dịch</x:t>
        </x:is>
      </x:c>
      <x:c r="H12" s="4" t="inlineStr">
        <x:is>
          <x:t xml:space="preserve">Tô Anh Tuấn</x:t>
        </x:is>
      </x:c>
      <x:c r="I12" s="4" t="str">
        <x:v>feature/tuan</x:v>
      </x:c>
      <x:c r="J12" s="27" t="n">
        <x:v>46324</x:v>
      </x:c>
      <x:c r="K12" s="27" t="n">
        <x:v>46324</x:v>
      </x:c>
      <x:c r="L12" s="8">
        <x:v>1</x:v>
      </x:c>
      <x:c r="M12" s="8" t="inlineStr">
        <x:is>
          <x:t xml:space="preserve">Trung bình</x:t>
        </x:is>
      </x:c>
      <x:c r="N12" s="8" t="inlineStr">
        <x:is>
          <x:t xml:space="preserve">Chưa làm</x:t>
        </x:is>
      </x:c>
      <x:c r="O12" s="10">
        <x:v>0</x:v>
      </x:c>
      <x:c r="P12" s="4" t="inlineStr">
        <x:is>
          <x:t xml:space="preserve">API giao dịch đáp ứng Quick Add</x:t>
        </x:is>
      </x:c>
      <x:c r="Q12" s="4" t="inlineStr">
        <x:is>
          <x:t xml:space="preserve"/>
        </x:is>
      </x:c>
      <x:c r="R12" s="4" t="inlineStr">
        <x:is>
          <x:t xml:space="preserve"/>
        </x:is>
      </x:c>
    </x:row>
    <x:row r="13" ht="80" customHeight="1">
      <x:c r="A13" s="9">
        <x:v>8</x:v>
      </x:c>
      <x:c r="B13" s="9" t="inlineStr">
        <x:is>
          <x:t xml:space="preserve">SE2-D03-FE</x:t>
        </x:is>
      </x:c>
      <x:c r="C13" s="9" t="str">
        <x:v>Đợt 1</x:v>
      </x:c>
      <x:c r="D13" s="9" t="inlineStr">
        <x:is>
          <x:t xml:space="preserve">D03</x:t>
        </x:is>
      </x:c>
      <x:c r="E13" s="9" t="inlineStr">
        <x:is>
          <x:t xml:space="preserve">FR-03</x:t>
        </x:is>
      </x:c>
      <x:c r="F13" s="5" t="inlineStr">
        <x:is>
          <x:t xml:space="preserve">Tích hợp Quick Add với Transaction API</x:t>
        </x:is>
      </x:c>
      <x:c r="G13" s="5" t="inlineStr">
        <x:is>
          <x:t xml:space="preserve">1. Kết nối Axios và bearer token
2. Xử lý submit, nút lưu, reset khi hoàn thành
3. Cập nhật ngay bảng giao dịch/Dashboard sau lưu
4. Kiểm tra cả light/dark trên mobile</x:t>
        </x:is>
      </x:c>
      <x:c r="H13" s="5" t="inlineStr">
        <x:is>
          <x:t xml:space="preserve">Trần Thị Thu Trang</x:t>
        </x:is>
      </x:c>
      <x:c r="I13" s="5" t="str">
        <x:v>feature/trang</x:v>
      </x:c>
      <x:c r="J13" s="28" t="n">
        <x:v>46324</x:v>
      </x:c>
      <x:c r="K13" s="28" t="n">
        <x:v>46324</x:v>
      </x:c>
      <x:c r="L13" s="9">
        <x:v>1</x:v>
      </x:c>
      <x:c r="M13" s="9" t="inlineStr">
        <x:is>
          <x:t xml:space="preserve">Trung bình</x:t>
        </x:is>
      </x:c>
      <x:c r="N13" s="9" t="inlineStr">
        <x:is>
          <x:t xml:space="preserve">Chưa làm</x:t>
        </x:is>
      </x:c>
      <x:c r="O13" s="11">
        <x:v>0</x:v>
      </x:c>
      <x:c r="P13" s="5" t="inlineStr">
        <x:is>
          <x:t xml:space="preserve">Có thể lưu giao dịch từ giao diện</x:t>
        </x:is>
      </x:c>
      <x:c r="Q13" s="5" t="inlineStr">
        <x:is>
          <x:t xml:space="preserve"/>
        </x:is>
      </x:c>
      <x:c r="R13" s="5" t="inlineStr">
        <x:is>
          <x:t xml:space="preserve"/>
        </x:is>
      </x:c>
    </x:row>
    <x:row r="14" ht="80" customHeight="1">
      <x:c r="A14" s="8">
        <x:v>9</x:v>
      </x:c>
      <x:c r="B14" s="8" t="inlineStr">
        <x:is>
          <x:t xml:space="preserve">SE2-D03-DB</x:t>
        </x:is>
      </x:c>
      <x:c r="C14" s="8" t="str">
        <x:v>Đợt 1</x:v>
      </x:c>
      <x:c r="D14" s="8" t="inlineStr">
        <x:is>
          <x:t xml:space="preserve">D03</x:t>
        </x:is>
      </x:c>
      <x:c r="E14" s="8" t="inlineStr">
        <x:is>
          <x:t xml:space="preserve">FR-03,FR-12</x:t>
        </x:is>
      </x:c>
      <x:c r="F14" s="4" t="inlineStr">
        <x:is>
          <x:t xml:space="preserve">Kiểm thử Quick Add và bảo vệ dữ liệu</x:t>
        </x:is>
      </x:c>
      <x:c r="G14" s="4" t="inlineStr">
        <x:is>
          <x:t xml:space="preserve">1. Test tiền âm/0/số quá lớn/loại sai
2. Test người A dùng category người B
3. Test lỗi mạng và ngắt session
4. Ghi minh chứng test + bug list</x:t>
        </x:is>
      </x:c>
      <x:c r="H14" s="4" t="inlineStr">
        <x:is>
          <x:t xml:space="preserve">Phạm Hương Quỳnh</x:t>
        </x:is>
      </x:c>
      <x:c r="I14" s="4" t="str">
        <x:v>feature/quynh</x:v>
      </x:c>
      <x:c r="J14" s="27" t="n">
        <x:v>46324</x:v>
      </x:c>
      <x:c r="K14" s="27" t="n">
        <x:v>46324</x:v>
      </x:c>
      <x:c r="L14" s="8">
        <x:v>1</x:v>
      </x:c>
      <x:c r="M14" s="8" t="inlineStr">
        <x:is>
          <x:t xml:space="preserve">Trung bình</x:t>
        </x:is>
      </x:c>
      <x:c r="N14" s="8" t="inlineStr">
        <x:is>
          <x:t xml:space="preserve">Chưa làm</x:t>
        </x:is>
      </x:c>
      <x:c r="O14" s="10">
        <x:v>0</x:v>
      </x:c>
      <x:c r="P14" s="4" t="inlineStr">
        <x:is>
          <x:t xml:space="preserve">Test case Quick Add và danh sách lỗi</x:t>
        </x:is>
      </x:c>
      <x:c r="Q14" s="4" t="inlineStr">
        <x:is>
          <x:t xml:space="preserve"/>
        </x:is>
      </x:c>
      <x:c r="R14" s="4" t="inlineStr">
        <x:is>
          <x:t xml:space="preserve"/>
        </x:is>
      </x:c>
    </x:row>
    <x:row r="15" ht="80" customHeight="1">
      <x:c r="A15" s="9">
        <x:v>10</x:v>
      </x:c>
      <x:c r="B15" s="9" t="inlineStr">
        <x:is>
          <x:t xml:space="preserve">SE2-D04-BE</x:t>
        </x:is>
      </x:c>
      <x:c r="C15" s="9" t="str">
        <x:v>Đợt 1</x:v>
      </x:c>
      <x:c r="D15" s="9" t="inlineStr">
        <x:is>
          <x:t xml:space="preserve">D04</x:t>
        </x:is>
      </x:c>
      <x:c r="E15" s="9" t="inlineStr">
        <x:is>
          <x:t xml:space="preserve">FR-04,FR-09</x:t>
        </x:is>
      </x:c>
      <x:c r="F15" s="5" t="inlineStr">
        <x:is>
          <x:t xml:space="preserve">Xây API truy vấn tổng hợp lịch theo ngày</x:t>
        </x:is>
      </x:c>
      <x:c r="G15" s="5" t="inlineStr">
        <x:is>
          <x:t xml:space="preserve">1. Thiết kế endpoint thống kê ngày/tháng có JWT
2. Tính tổng INCOME/EXPENSE theo ngày từ DB
3. Xử lý tháng ít ngày, năm nhuận, timezone
4. Viết test user không có giao dịch</x:t>
        </x:is>
      </x:c>
      <x:c r="H15" s="5" t="inlineStr">
        <x:is>
          <x:t xml:space="preserve">Tô Anh Tuấn</x:t>
        </x:is>
      </x:c>
      <x:c r="I15" s="5" t="str">
        <x:v>feature/tuan</x:v>
      </x:c>
      <x:c r="J15" s="28" t="n">
        <x:v>46325</x:v>
      </x:c>
      <x:c r="K15" s="28" t="n">
        <x:v>46325</x:v>
      </x:c>
      <x:c r="L15" s="9">
        <x:v>1</x:v>
      </x:c>
      <x:c r="M15" s="9" t="inlineStr">
        <x:is>
          <x:t xml:space="preserve">Trung bình</x:t>
        </x:is>
      </x:c>
      <x:c r="N15" s="9" t="inlineStr">
        <x:is>
          <x:t xml:space="preserve">Chưa làm</x:t>
        </x:is>
      </x:c>
      <x:c r="O15" s="11">
        <x:v>0</x:v>
      </x:c>
      <x:c r="P15" s="5" t="inlineStr">
        <x:is>
          <x:t xml:space="preserve">API trả danh sách ngày + số tiền đúng</x:t>
        </x:is>
      </x:c>
      <x:c r="Q15" s="5" t="inlineStr">
        <x:is>
          <x:t xml:space="preserve"/>
        </x:is>
      </x:c>
      <x:c r="R15" s="5" t="inlineStr">
        <x:is>
          <x:t xml:space="preserve"/>
        </x:is>
      </x:c>
    </x:row>
    <x:row r="16" ht="80" customHeight="1">
      <x:c r="A16" s="8">
        <x:v>11</x:v>
      </x:c>
      <x:c r="B16" s="8" t="inlineStr">
        <x:is>
          <x:t xml:space="preserve">SE2-D04-FE</x:t>
        </x:is>
      </x:c>
      <x:c r="C16" s="8" t="str">
        <x:v>Đợt 1</x:v>
      </x:c>
      <x:c r="D16" s="8" t="inlineStr">
        <x:is>
          <x:t xml:space="preserve">D04</x:t>
        </x:is>
      </x:c>
      <x:c r="E16" s="8" t="inlineStr">
        <x:is>
          <x:t xml:space="preserve">FR-04,FR-11</x:t>
        </x:is>
      </x:c>
      <x:c r="F16" s="4" t="inlineStr">
        <x:is>
          <x:t xml:space="preserve">Dựng Calendar tháng và chọn ngày</x:t>
        </x:is>
      </x:c>
      <x:c r="G16" s="4" t="inlineStr">
        <x:is>
          <x:t xml:space="preserve">1. Dựng lưới 7 cột, chỉ báo ngày hiện tại
2. Điều hướng tháng trước/sau và chọn ngày
3. Hiển thị tổng thu chi trong ô ngày
4. Thêm empty state và responsive</x:t>
        </x:is>
      </x:c>
      <x:c r="H16" s="4" t="inlineStr">
        <x:is>
          <x:t xml:space="preserve">Trần Thị Thu Trang</x:t>
        </x:is>
      </x:c>
      <x:c r="I16" s="4" t="str">
        <x:v>feature/trang</x:v>
      </x:c>
      <x:c r="J16" s="27" t="n">
        <x:v>46325</x:v>
      </x:c>
      <x:c r="K16" s="27" t="n">
        <x:v>46325</x:v>
      </x:c>
      <x:c r="L16" s="8">
        <x:v>1</x:v>
      </x:c>
      <x:c r="M16" s="8" t="inlineStr">
        <x:is>
          <x:t xml:space="preserve">Trung bình</x:t>
        </x:is>
      </x:c>
      <x:c r="N16" s="8" t="inlineStr">
        <x:is>
          <x:t xml:space="preserve">Chưa làm</x:t>
        </x:is>
      </x:c>
      <x:c r="O16" s="10">
        <x:v>0</x:v>
      </x:c>
      <x:c r="P16" s="4" t="inlineStr">
        <x:is>
          <x:t xml:space="preserve">Màn hình lịch có dữ liệu minh họa không hardcode</x:t>
        </x:is>
      </x:c>
      <x:c r="Q16" s="4" t="inlineStr">
        <x:is>
          <x:t xml:space="preserve"/>
        </x:is>
      </x:c>
      <x:c r="R16" s="4" t="inlineStr">
        <x:is>
          <x:t xml:space="preserve"/>
        </x:is>
      </x:c>
    </x:row>
    <x:row r="17" ht="80" customHeight="1">
      <x:c r="A17" s="9">
        <x:v>12</x:v>
      </x:c>
      <x:c r="B17" s="9" t="inlineStr">
        <x:is>
          <x:t xml:space="preserve">SE2-D04-DB</x:t>
        </x:is>
      </x:c>
      <x:c r="C17" s="9" t="str">
        <x:v>Đợt 1</x:v>
      </x:c>
      <x:c r="D17" s="9" t="inlineStr">
        <x:is>
          <x:t xml:space="preserve">D04</x:t>
        </x:is>
      </x:c>
      <x:c r="E17" s="9" t="inlineStr">
        <x:is>
          <x:t xml:space="preserve">FR-04,FR-12</x:t>
        </x:is>
      </x:c>
      <x:c r="F17" s="5" t="inlineStr">
        <x:is>
          <x:t xml:space="preserve">Đánh chỉ mục và test tổng hợp lịch</x:t>
        </x:is>
      </x:c>
      <x:c r="G17" s="5" t="inlineStr">
        <x:is>
          <x:t xml:space="preserve">1. Kiểm tra query theo user_id và date
2. Đối chiếu SQL tổng thu/chi từng ngày
3. Test qua giao ngày cuối tháng và tháng 2
4. Đo thời gian truy vấn có ghi điều kiện</x:t>
        </x:is>
      </x:c>
      <x:c r="H17" s="5" t="inlineStr">
        <x:is>
          <x:t xml:space="preserve">Phạm Hương Quỳnh</x:t>
        </x:is>
      </x:c>
      <x:c r="I17" s="5" t="str">
        <x:v>feature/quynh</x:v>
      </x:c>
      <x:c r="J17" s="28" t="n">
        <x:v>46325</x:v>
      </x:c>
      <x:c r="K17" s="28" t="n">
        <x:v>46325</x:v>
      </x:c>
      <x:c r="L17" s="9">
        <x:v>1</x:v>
      </x:c>
      <x:c r="M17" s="9" t="inlineStr">
        <x:is>
          <x:t xml:space="preserve">Trung bình</x:t>
        </x:is>
      </x:c>
      <x:c r="N17" s="9" t="inlineStr">
        <x:is>
          <x:t xml:space="preserve">Chưa làm</x:t>
        </x:is>
      </x:c>
      <x:c r="O17" s="11">
        <x:v>0</x:v>
      </x:c>
      <x:c r="P17" s="5" t="inlineStr">
        <x:is>
          <x:t xml:space="preserve">Biên bản kiểm thử truy vấn lịch</x:t>
        </x:is>
      </x:c>
      <x:c r="Q17" s="5" t="inlineStr">
        <x:is>
          <x:t xml:space="preserve"/>
        </x:is>
      </x:c>
      <x:c r="R17" s="5" t="inlineStr">
        <x:is>
          <x:t xml:space="preserve"/>
        </x:is>
      </x:c>
    </x:row>
    <x:row r="18" ht="80" customHeight="1">
      <x:c r="A18" s="8">
        <x:v>13</x:v>
      </x:c>
      <x:c r="B18" s="8" t="inlineStr">
        <x:is>
          <x:t xml:space="preserve">SE2-D05-BE</x:t>
        </x:is>
      </x:c>
      <x:c r="C18" s="8" t="str">
        <x:v>Đợt 2</x:v>
      </x:c>
      <x:c r="D18" s="8" t="inlineStr">
        <x:is>
          <x:t xml:space="preserve">D05</x:t>
        </x:is>
      </x:c>
      <x:c r="E18" s="8" t="inlineStr">
        <x:is>
          <x:t xml:space="preserve">FR-04,FR-05</x:t>
        </x:is>
      </x:c>
      <x:c r="F18" s="4" t="inlineStr">
        <x:is>
          <x:t xml:space="preserve">Tối ưu Calendar API và tài liệu yêu cầu</x:t>
        </x:is>
      </x:c>
      <x:c r="G18" s="4" t="inlineStr">
        <x:is>
          <x:t xml:space="preserve">1. Rà soát paging và truy vấn đúng user
2. Sửa API tổng hợp ngày theo bug list
3. Viết mô tả API dùng cho frontend
4. Review PR backend và merge dev khi CI đạt</x:t>
        </x:is>
      </x:c>
      <x:c r="H18" s="4" t="inlineStr">
        <x:is>
          <x:t xml:space="preserve">Tô Anh Tuấn</x:t>
        </x:is>
      </x:c>
      <x:c r="I18" s="4" t="str">
        <x:v>feature/tuan</x:v>
      </x:c>
      <x:c r="J18" s="27" t="n">
        <x:v>46328</x:v>
      </x:c>
      <x:c r="K18" s="27" t="n">
        <x:v>46328</x:v>
      </x:c>
      <x:c r="L18" s="8">
        <x:v>1</x:v>
      </x:c>
      <x:c r="M18" s="8" t="inlineStr">
        <x:is>
          <x:t xml:space="preserve">Trung bình</x:t>
        </x:is>
      </x:c>
      <x:c r="N18" s="8" t="inlineStr">
        <x:is>
          <x:t xml:space="preserve">Chưa làm</x:t>
        </x:is>
      </x:c>
      <x:c r="O18" s="10">
        <x:v>0</x:v>
      </x:c>
      <x:c r="P18" s="4" t="inlineStr">
        <x:is>
          <x:t xml:space="preserve">Calendar API tích hợp ổn định</x:t>
        </x:is>
      </x:c>
      <x:c r="Q18" s="4" t="inlineStr">
        <x:is>
          <x:t xml:space="preserve"/>
        </x:is>
      </x:c>
      <x:c r="R18" s="4" t="inlineStr">
        <x:is>
          <x:t xml:space="preserve"/>
        </x:is>
      </x:c>
    </x:row>
    <x:row r="19" ht="80" customHeight="1">
      <x:c r="A19" s="9">
        <x:v>14</x:v>
      </x:c>
      <x:c r="B19" s="9" t="inlineStr">
        <x:is>
          <x:t xml:space="preserve">SE2-D05-FE</x:t>
        </x:is>
      </x:c>
      <x:c r="C19" s="9" t="str">
        <x:v>Đợt 2</x:v>
      </x:c>
      <x:c r="D19" s="9" t="inlineStr">
        <x:is>
          <x:t xml:space="preserve">D05</x:t>
        </x:is>
      </x:c>
      <x:c r="E19" s="9" t="inlineStr">
        <x:is>
          <x:t xml:space="preserve">FR-04,FR-03</x:t>
        </x:is>
      </x:c>
      <x:c r="F19" s="5" t="inlineStr">
        <x:is>
          <x:t xml:space="preserve">Tích hợp chi tiết ngày và tạo giao dịch từ lịch</x:t>
        </x:is>
      </x:c>
      <x:c r="G19" s="5" t="inlineStr">
        <x:is>
          <x:t xml:space="preserve">1. Click ngày mở danh sách giao dịch
2. Nhấn thêm giao dịch thì tự chọn ngày
3. Refresh ô tổng hợp khi giao dịch đổi
4. Kiểm thử trình duyệt desktop và mobile</x:t>
        </x:is>
      </x:c>
      <x:c r="H19" s="5" t="inlineStr">
        <x:is>
          <x:t xml:space="preserve">Trần Thị Thu Trang</x:t>
        </x:is>
      </x:c>
      <x:c r="I19" s="5" t="str">
        <x:v>feature/trang</x:v>
      </x:c>
      <x:c r="J19" s="28" t="n">
        <x:v>46328</x:v>
      </x:c>
      <x:c r="K19" s="28" t="n">
        <x:v>46328</x:v>
      </x:c>
      <x:c r="L19" s="9">
        <x:v>1</x:v>
      </x:c>
      <x:c r="M19" s="9" t="inlineStr">
        <x:is>
          <x:t xml:space="preserve">Trung bình</x:t>
        </x:is>
      </x:c>
      <x:c r="N19" s="9" t="inlineStr">
        <x:is>
          <x:t xml:space="preserve">Chưa làm</x:t>
        </x:is>
      </x:c>
      <x:c r="O19" s="11">
        <x:v>0</x:v>
      </x:c>
      <x:c r="P19" s="5" t="inlineStr">
        <x:is>
          <x:t xml:space="preserve">Luồng Calendar → Quick Add hoàn chỉnh</x:t>
        </x:is>
      </x:c>
      <x:c r="Q19" s="5" t="inlineStr">
        <x:is>
          <x:t xml:space="preserve"/>
        </x:is>
      </x:c>
      <x:c r="R19" s="5" t="inlineStr">
        <x:is>
          <x:t xml:space="preserve"/>
        </x:is>
      </x:c>
    </x:row>
    <x:row r="20" ht="80" customHeight="1">
      <x:c r="A20" s="8">
        <x:v>15</x:v>
      </x:c>
      <x:c r="B20" s="8" t="inlineStr">
        <x:is>
          <x:t xml:space="preserve">SE2-D05-DB</x:t>
        </x:is>
      </x:c>
      <x:c r="C20" s="8" t="str">
        <x:v>Đợt 2</x:v>
      </x:c>
      <x:c r="D20" s="8" t="inlineStr">
        <x:is>
          <x:t xml:space="preserve">D05</x:t>
        </x:is>
      </x:c>
      <x:c r="E20" s="8" t="inlineStr">
        <x:is>
          <x:t xml:space="preserve">FR-04,FR-12</x:t>
        </x:is>
      </x:c>
      <x:c r="F20" s="4" t="inlineStr">
        <x:is>
          <x:t xml:space="preserve">QA nghiệm thu tuần chức năng lịch</x:t>
        </x:is>
      </x:c>
      <x:c r="G20" s="4" t="inlineStr">
        <x:is>
          <x:t xml:space="preserve">1. Test lịch tháng trống và dữ liệu nhiều ngày
2. Kiểm tra không rò dữ liệu user khác
3. Chạy smoke test Auth/Category/Transactions
4. Chốt lỗi severity và lưu minh chứng</x:t>
        </x:is>
      </x:c>
      <x:c r="H20" s="4" t="inlineStr">
        <x:is>
          <x:t xml:space="preserve">Phạm Hương Quỳnh</x:t>
        </x:is>
      </x:c>
      <x:c r="I20" s="4" t="str">
        <x:v>feature/quynh</x:v>
      </x:c>
      <x:c r="J20" s="27" t="n">
        <x:v>46328</x:v>
      </x:c>
      <x:c r="K20" s="27" t="n">
        <x:v>46328</x:v>
      </x:c>
      <x:c r="L20" s="8">
        <x:v>1</x:v>
      </x:c>
      <x:c r="M20" s="8" t="inlineStr">
        <x:is>
          <x:t xml:space="preserve">Trung bình</x:t>
        </x:is>
      </x:c>
      <x:c r="N20" s="8" t="inlineStr">
        <x:is>
          <x:t xml:space="preserve">Chưa làm</x:t>
        </x:is>
      </x:c>
      <x:c r="O20" s="10">
        <x:v>0</x:v>
      </x:c>
      <x:c r="P20" s="4" t="inlineStr">
        <x:is>
          <x:t xml:space="preserve">Biên bản nghiệm thu tuần nhóm ngày D01–D05</x:t>
        </x:is>
      </x:c>
      <x:c r="Q20" s="4" t="inlineStr">
        <x:is>
          <x:t xml:space="preserve"/>
        </x:is>
      </x:c>
      <x:c r="R20" s="4" t="inlineStr">
        <x:is>
          <x:t xml:space="preserve"/>
        </x:is>
      </x:c>
    </x:row>
    <x:row r="21" ht="80" customHeight="1">
      <x:c r="A21" s="9">
        <x:v>16</x:v>
      </x:c>
      <x:c r="B21" s="9" t="inlineStr">
        <x:is>
          <x:t xml:space="preserve">SE2-D06-BE</x:t>
        </x:is>
      </x:c>
      <x:c r="C21" s="9" t="str">
        <x:v>Đợt 2</x:v>
      </x:c>
      <x:c r="D21" s="9" t="inlineStr">
        <x:is>
          <x:t xml:space="preserve">D06</x:t>
        </x:is>
      </x:c>
      <x:c r="E21" s="9" t="inlineStr">
        <x:is>
          <x:t xml:space="preserve">FR-02</x:t>
        </x:is>
      </x:c>
      <x:c r="F21" s="5" t="inlineStr">
        <x:is>
          <x:t xml:space="preserve">Bổ sung icon/color cho Category API</x:t>
        </x:is>
      </x:c>
      <x:c r="G21" s="5" t="inlineStr">
        <x:is>
          <x:t xml:space="preserve">1. Cập nhật Entity/DTO/validation icon và hex color
2. Đảm bảo API cũ tương thích danh mục không có icon
3. Không cho sửa category của người khác
4. Viết test CRUD category mở rộng</x:t>
        </x:is>
      </x:c>
      <x:c r="H21" s="5" t="inlineStr">
        <x:is>
          <x:t xml:space="preserve">Tô Anh Tuấn</x:t>
        </x:is>
      </x:c>
      <x:c r="I21" s="5" t="str">
        <x:v>feature/tuan</x:v>
      </x:c>
      <x:c r="J21" s="28" t="n">
        <x:v>46329</x:v>
      </x:c>
      <x:c r="K21" s="28" t="n">
        <x:v>46329</x:v>
      </x:c>
      <x:c r="L21" s="9">
        <x:v>1</x:v>
      </x:c>
      <x:c r="M21" s="9" t="inlineStr">
        <x:is>
          <x:t xml:space="preserve">Trung bình</x:t>
        </x:is>
      </x:c>
      <x:c r="N21" s="9" t="inlineStr">
        <x:is>
          <x:t xml:space="preserve">Chưa làm</x:t>
        </x:is>
      </x:c>
      <x:c r="O21" s="11">
        <x:v>0</x:v>
      </x:c>
      <x:c r="P21" s="5" t="inlineStr">
        <x:is>
          <x:t xml:space="preserve">API danh mục trả và lưu icon/color</x:t>
        </x:is>
      </x:c>
      <x:c r="Q21" s="5" t="inlineStr">
        <x:is>
          <x:t xml:space="preserve"/>
        </x:is>
      </x:c>
      <x:c r="R21" s="5" t="inlineStr">
        <x:is>
          <x:t xml:space="preserve"/>
        </x:is>
      </x:c>
    </x:row>
    <x:row r="22" ht="80" customHeight="1">
      <x:c r="A22" s="8">
        <x:v>17</x:v>
      </x:c>
      <x:c r="B22" s="8" t="inlineStr">
        <x:is>
          <x:t xml:space="preserve">SE2-D06-FE</x:t>
        </x:is>
      </x:c>
      <x:c r="C22" s="8" t="str">
        <x:v>Đợt 2</x:v>
      </x:c>
      <x:c r="D22" s="8" t="inlineStr">
        <x:is>
          <x:t xml:space="preserve">D06</x:t>
        </x:is>
      </x:c>
      <x:c r="E22" s="8" t="inlineStr">
        <x:is>
          <x:t xml:space="preserve">FR-02,FR-11</x:t>
        </x:is>
      </x:c>
      <x:c r="F22" s="4" t="inlineStr">
        <x:is>
          <x:t xml:space="preserve">Thiết kế icon và màu danh mục</x:t>
        </x:is>
      </x:c>
      <x:c r="G22" s="4" t="inlineStr">
        <x:is>
          <x:t xml:space="preserve">1. Tạo picker icon và palette màu dễ dùng
2. Cập nhật form Create/Edit Category
3. Hiển thị icon danh mục ở danh sách/Quick Add
4. Kiểm tra độ tương phản light/dark</x:t>
        </x:is>
      </x:c>
      <x:c r="H22" s="4" t="inlineStr">
        <x:is>
          <x:t xml:space="preserve">Trần Thị Thu Trang</x:t>
        </x:is>
      </x:c>
      <x:c r="I22" s="4" t="str">
        <x:v>feature/trang</x:v>
      </x:c>
      <x:c r="J22" s="27" t="n">
        <x:v>46329</x:v>
      </x:c>
      <x:c r="K22" s="27" t="n">
        <x:v>46329</x:v>
      </x:c>
      <x:c r="L22" s="8">
        <x:v>1</x:v>
      </x:c>
      <x:c r="M22" s="8" t="inlineStr">
        <x:is>
          <x:t xml:space="preserve">Trung bình</x:t>
        </x:is>
      </x:c>
      <x:c r="N22" s="8" t="inlineStr">
        <x:is>
          <x:t xml:space="preserve">Chưa làm</x:t>
        </x:is>
      </x:c>
      <x:c r="O22" s="10">
        <x:v>0</x:v>
      </x:c>
      <x:c r="P22" s="4" t="inlineStr">
        <x:is>
          <x:t xml:space="preserve">Danh mục có icon và màu thống nhất</x:t>
        </x:is>
      </x:c>
      <x:c r="Q22" s="4" t="inlineStr">
        <x:is>
          <x:t xml:space="preserve"/>
        </x:is>
      </x:c>
      <x:c r="R22" s="4" t="inlineStr">
        <x:is>
          <x:t xml:space="preserve"/>
        </x:is>
      </x:c>
    </x:row>
    <x:row r="23" ht="80" customHeight="1">
      <x:c r="A23" s="9">
        <x:v>18</x:v>
      </x:c>
      <x:c r="B23" s="9" t="inlineStr">
        <x:is>
          <x:t xml:space="preserve">SE2-D06-DB</x:t>
        </x:is>
      </x:c>
      <x:c r="C23" s="9" t="str">
        <x:v>Đợt 2</x:v>
      </x:c>
      <x:c r="D23" s="9" t="inlineStr">
        <x:is>
          <x:t xml:space="preserve">D06</x:t>
        </x:is>
      </x:c>
      <x:c r="E23" s="9" t="inlineStr">
        <x:is>
          <x:t xml:space="preserve">FR-02,FR-12</x:t>
        </x:is>
      </x:c>
      <x:c r="F23" s="5" t="inlineStr">
        <x:is>
          <x:t xml:space="preserve">Migration icon/color an toàn</x:t>
        </x:is>
      </x:c>
      <x:c r="G23" s="5" t="inlineStr">
        <x:is>
          <x:t xml:space="preserve">1. Tạo migration lên schema hiện tại
2. Backfill giá trị mặc định danh mục cũ
3. Kiểm tra không phá FK và dữ liệu cũ
4. Tạo script rollback và test trên local</x:t>
        </x:is>
      </x:c>
      <x:c r="H23" s="5" t="inlineStr">
        <x:is>
          <x:t xml:space="preserve">Phạm Hương Quỳnh</x:t>
        </x:is>
      </x:c>
      <x:c r="I23" s="5" t="str">
        <x:v>feature/quynh</x:v>
      </x:c>
      <x:c r="J23" s="28" t="n">
        <x:v>46329</x:v>
      </x:c>
      <x:c r="K23" s="28" t="n">
        <x:v>46329</x:v>
      </x:c>
      <x:c r="L23" s="9">
        <x:v>1</x:v>
      </x:c>
      <x:c r="M23" s="9" t="inlineStr">
        <x:is>
          <x:t xml:space="preserve">Trung bình</x:t>
        </x:is>
      </x:c>
      <x:c r="N23" s="9" t="inlineStr">
        <x:is>
          <x:t xml:space="preserve">Chưa làm</x:t>
        </x:is>
      </x:c>
      <x:c r="O23" s="11">
        <x:v>0</x:v>
      </x:c>
      <x:c r="P23" s="5" t="inlineStr">
        <x:is>
          <x:t xml:space="preserve">Migration và kết quả kiểm thử lưu trong database/</x:t>
        </x:is>
      </x:c>
      <x:c r="Q23" s="5" t="inlineStr">
        <x:is>
          <x:t xml:space="preserve"/>
        </x:is>
      </x:c>
      <x:c r="R23" s="5" t="inlineStr">
        <x:is>
          <x:t xml:space="preserve"/>
        </x:is>
      </x:c>
    </x:row>
    <x:row r="24" ht="80" customHeight="1">
      <x:c r="A24" s="8">
        <x:v>19</x:v>
      </x:c>
      <x:c r="B24" s="8" t="inlineStr">
        <x:is>
          <x:t xml:space="preserve">SE2-D07-BE</x:t>
        </x:is>
      </x:c>
      <x:c r="C24" s="8" t="str">
        <x:v>Đợt 2</x:v>
      </x:c>
      <x:c r="D24" s="8" t="inlineStr">
        <x:is>
          <x:t xml:space="preserve">D07</x:t>
        </x:is>
      </x:c>
      <x:c r="E24" s="8" t="inlineStr">
        <x:is>
          <x:t xml:space="preserve">FR-07</x:t>
        </x:is>
      </x:c>
      <x:c r="F24" s="4" t="inlineStr">
        <x:is>
          <x:t xml:space="preserve">Xây API ngân sách theo danh mục</x:t>
        </x:is>
      </x:c>
      <x:c r="G24" s="4" t="inlineStr">
        <x:is>
          <x:t xml:space="preserve">1. Đặc tả CategoryBudget theo user/year/month/category
2. CRUD ngân sách danh mục; đảm bảo unique theo kỳ
3. Kiểm tra category EXPENSE và user sở hữu
4. Trả spent/remaining/percentage và test</x:t>
        </x:is>
      </x:c>
      <x:c r="H24" s="4" t="inlineStr">
        <x:is>
          <x:t xml:space="preserve">Tô Anh Tuấn</x:t>
        </x:is>
      </x:c>
      <x:c r="I24" s="4" t="str">
        <x:v>feature/tuan</x:v>
      </x:c>
      <x:c r="J24" s="27" t="n">
        <x:v>46330</x:v>
      </x:c>
      <x:c r="K24" s="27" t="n">
        <x:v>46330</x:v>
      </x:c>
      <x:c r="L24" s="8">
        <x:v>1</x:v>
      </x:c>
      <x:c r="M24" s="8" t="inlineStr">
        <x:is>
          <x:t xml:space="preserve">Trung bình</x:t>
        </x:is>
      </x:c>
      <x:c r="N24" s="8" t="inlineStr">
        <x:is>
          <x:t xml:space="preserve">Chưa làm</x:t>
        </x:is>
      </x:c>
      <x:c r="O24" s="10">
        <x:v>0</x:v>
      </x:c>
      <x:c r="P24" s="4" t="inlineStr">
        <x:is>
          <x:t xml:space="preserve">CRUD category budgets đúng nghiệp vụ</x:t>
        </x:is>
      </x:c>
      <x:c r="Q24" s="4" t="inlineStr">
        <x:is>
          <x:t xml:space="preserve"/>
        </x:is>
      </x:c>
      <x:c r="R24" s="4" t="inlineStr">
        <x:is>
          <x:t xml:space="preserve"/>
        </x:is>
      </x:c>
    </x:row>
    <x:row r="25" ht="80" customHeight="1">
      <x:c r="A25" s="9">
        <x:v>20</x:v>
      </x:c>
      <x:c r="B25" s="9" t="inlineStr">
        <x:is>
          <x:t xml:space="preserve">SE2-D07-FE</x:t>
        </x:is>
      </x:c>
      <x:c r="C25" s="9" t="str">
        <x:v>Đợt 2</x:v>
      </x:c>
      <x:c r="D25" s="9" t="inlineStr">
        <x:is>
          <x:t xml:space="preserve">D07</x:t>
        </x:is>
      </x:c>
      <x:c r="E25" s="9" t="inlineStr">
        <x:is>
          <x:t xml:space="preserve">FR-07,FR-06</x:t>
        </x:is>
      </x:c>
      <x:c r="F25" s="5" t="inlineStr">
        <x:is>
          <x:t xml:space="preserve">Giao diện ngân sách danh mục</x:t>
        </x:is>
      </x:c>
      <x:c r="G25" s="5" t="inlineStr">
        <x:is>
          <x:t xml:space="preserve">1. Form đặt giới hạn theo từng danh mục
2. Thanh tiến độ, cảnh báo safe/warning/over
3. Hiển thị số đã chi và còn lại theo tháng
4. Tương thích mobile và dark mode</x:t>
        </x:is>
      </x:c>
      <x:c r="H25" s="5" t="inlineStr">
        <x:is>
          <x:t xml:space="preserve">Trần Thị Thu Trang</x:t>
        </x:is>
      </x:c>
      <x:c r="I25" s="5" t="str">
        <x:v>feature/trang</x:v>
      </x:c>
      <x:c r="J25" s="28" t="n">
        <x:v>46330</x:v>
      </x:c>
      <x:c r="K25" s="28" t="n">
        <x:v>46330</x:v>
      </x:c>
      <x:c r="L25" s="9">
        <x:v>1</x:v>
      </x:c>
      <x:c r="M25" s="9" t="inlineStr">
        <x:is>
          <x:t xml:space="preserve">Trung bình</x:t>
        </x:is>
      </x:c>
      <x:c r="N25" s="9" t="inlineStr">
        <x:is>
          <x:t xml:space="preserve">Chưa làm</x:t>
        </x:is>
      </x:c>
      <x:c r="O25" s="11">
        <x:v>0</x:v>
      </x:c>
      <x:c r="P25" s="5" t="inlineStr">
        <x:is>
          <x:t xml:space="preserve">Trang Category Budget kết nối API</x:t>
        </x:is>
      </x:c>
      <x:c r="Q25" s="5" t="inlineStr">
        <x:is>
          <x:t xml:space="preserve"/>
        </x:is>
      </x:c>
      <x:c r="R25" s="5" t="inlineStr">
        <x:is>
          <x:t xml:space="preserve"/>
        </x:is>
      </x:c>
    </x:row>
    <x:row r="26" ht="80" customHeight="1">
      <x:c r="A26" s="8">
        <x:v>21</x:v>
      </x:c>
      <x:c r="B26" s="8" t="inlineStr">
        <x:is>
          <x:t xml:space="preserve">SE2-D07-DB</x:t>
        </x:is>
      </x:c>
      <x:c r="C26" s="8" t="str">
        <x:v>Đợt 2</x:v>
      </x:c>
      <x:c r="D26" s="8" t="inlineStr">
        <x:is>
          <x:t xml:space="preserve">D07</x:t>
        </x:is>
      </x:c>
      <x:c r="E26" s="8" t="inlineStr">
        <x:is>
          <x:t xml:space="preserve">FR-07,FR-12</x:t>
        </x:is>
      </x:c>
      <x:c r="F26" s="4" t="inlineStr">
        <x:is>
          <x:t xml:space="preserve">Bảng category_budgets &amp; test ràng buộc</x:t>
        </x:is>
      </x:c>
      <x:c r="G26" s="4" t="inlineStr">
        <x:is>
          <x:t xml:space="preserve">1. Tạo FK users/categories, unique user-category-year-month
2. Kiểm tra xóa category đã có budget
3. Test ngân sách 0/âm/trùng kỳ
4. Đối chiếu số chi từ transactions</x:t>
        </x:is>
      </x:c>
      <x:c r="H26" s="4" t="inlineStr">
        <x:is>
          <x:t xml:space="preserve">Phạm Hương Quỳnh</x:t>
        </x:is>
      </x:c>
      <x:c r="I26" s="4" t="str">
        <x:v>feature/quynh</x:v>
      </x:c>
      <x:c r="J26" s="27" t="n">
        <x:v>46330</x:v>
      </x:c>
      <x:c r="K26" s="27" t="n">
        <x:v>46330</x:v>
      </x:c>
      <x:c r="L26" s="8">
        <x:v>1</x:v>
      </x:c>
      <x:c r="M26" s="8" t="inlineStr">
        <x:is>
          <x:t xml:space="preserve">Trung bình</x:t>
        </x:is>
      </x:c>
      <x:c r="N26" s="8" t="inlineStr">
        <x:is>
          <x:t xml:space="preserve">Chưa làm</x:t>
        </x:is>
      </x:c>
      <x:c r="O26" s="10">
        <x:v>0</x:v>
      </x:c>
      <x:c r="P26" s="4" t="inlineStr">
        <x:is>
          <x:t xml:space="preserve">Migration ngân sách và test chống trùng</x:t>
        </x:is>
      </x:c>
      <x:c r="Q26" s="4" t="inlineStr">
        <x:is>
          <x:t xml:space="preserve"/>
        </x:is>
      </x:c>
      <x:c r="R26" s="4" t="inlineStr">
        <x:is>
          <x:t xml:space="preserve"/>
        </x:is>
      </x:c>
    </x:row>
    <x:row r="27" ht="80" customHeight="1">
      <x:c r="A27" s="9">
        <x:v>22</x:v>
      </x:c>
      <x:c r="B27" s="9" t="inlineStr">
        <x:is>
          <x:t xml:space="preserve">SE2-D08-BE</x:t>
        </x:is>
      </x:c>
      <x:c r="C27" s="9" t="str">
        <x:v>Đợt 2</x:v>
      </x:c>
      <x:c r="D27" s="9" t="inlineStr">
        <x:is>
          <x:t xml:space="preserve">D08</x:t>
        </x:is>
      </x:c>
      <x:c r="E27" s="9" t="inlineStr">
        <x:is>
          <x:t xml:space="preserve">FR-08</x:t>
        </x:is>
      </x:c>
      <x:c r="F27" s="5" t="inlineStr">
        <x:is>
          <x:t xml:space="preserve">CRUD mẫu giao dịch định kỳ</x:t>
        </x:is>
      </x:c>
      <x:c r="G27" s="5" t="inlineStr">
        <x:is>
          <x:t xml:space="preserve">1. Thiết kế DTO template (type, amount, dateInMonth, category, note, active)
2. Tạo/list/sửa/tắt mẫu, kiểm tra owner
3. Quy định ngày 29–31 khi tháng ngắn
4. Viết test dữ liệu và category phù hợp</x:t>
        </x:is>
      </x:c>
      <x:c r="H27" s="5" t="inlineStr">
        <x:is>
          <x:t xml:space="preserve">Tô Anh Tuấn</x:t>
        </x:is>
      </x:c>
      <x:c r="I27" s="5" t="str">
        <x:v>feature/tuan</x:v>
      </x:c>
      <x:c r="J27" s="28" t="n">
        <x:v>46331</x:v>
      </x:c>
      <x:c r="K27" s="28" t="n">
        <x:v>46331</x:v>
      </x:c>
      <x:c r="L27" s="9">
        <x:v>1</x:v>
      </x:c>
      <x:c r="M27" s="9" t="inlineStr">
        <x:is>
          <x:t xml:space="preserve">Cao</x:t>
        </x:is>
      </x:c>
      <x:c r="N27" s="9" t="inlineStr">
        <x:is>
          <x:t xml:space="preserve">Chưa làm</x:t>
        </x:is>
      </x:c>
      <x:c r="O27" s="11">
        <x:v>0</x:v>
      </x:c>
      <x:c r="P27" s="5" t="inlineStr">
        <x:is>
          <x:t xml:space="preserve">API recurring templates CRUD</x:t>
        </x:is>
      </x:c>
      <x:c r="Q27" s="5" t="inlineStr">
        <x:is>
          <x:t xml:space="preserve"/>
        </x:is>
      </x:c>
      <x:c r="R27" s="5" t="inlineStr">
        <x:is>
          <x:t xml:space="preserve"/>
        </x:is>
      </x:c>
    </x:row>
    <x:row r="28" ht="80" customHeight="1">
      <x:c r="A28" s="8">
        <x:v>23</x:v>
      </x:c>
      <x:c r="B28" s="8" t="inlineStr">
        <x:is>
          <x:t xml:space="preserve">SE2-D08-FE</x:t>
        </x:is>
      </x:c>
      <x:c r="C28" s="8" t="str">
        <x:v>Đợt 2</x:v>
      </x:c>
      <x:c r="D28" s="8" t="inlineStr">
        <x:is>
          <x:t xml:space="preserve">D08</x:t>
        </x:is>
      </x:c>
      <x:c r="E28" s="8" t="inlineStr">
        <x:is>
          <x:t xml:space="preserve">FR-08,FR-11</x:t>
        </x:is>
      </x:c>
      <x:c r="F28" s="4" t="inlineStr">
        <x:is>
          <x:t xml:space="preserve">Màn hình quản lý giao dịch định kỳ</x:t>
        </x:is>
      </x:c>
      <x:c r="G28" s="4" t="inlineStr">
        <x:is>
          <x:t xml:space="preserve">1. Form tạo/sửa mẫu thu hoặc chi hằng tháng
2. Danh sách mẫu với trạng thái bật/tắt
3. Xử lý ngày lặp, hiển thị ngày tháng ngắn
4. Thông báo rõ mẫu không tự động trừ tiền</x:t>
        </x:is>
      </x:c>
      <x:c r="H28" s="4" t="inlineStr">
        <x:is>
          <x:t xml:space="preserve">Trần Thị Thu Trang</x:t>
        </x:is>
      </x:c>
      <x:c r="I28" s="4" t="str">
        <x:v>feature/trang</x:v>
      </x:c>
      <x:c r="J28" s="27" t="n">
        <x:v>46331</x:v>
      </x:c>
      <x:c r="K28" s="27" t="n">
        <x:v>46331</x:v>
      </x:c>
      <x:c r="L28" s="8">
        <x:v>1</x:v>
      </x:c>
      <x:c r="M28" s="8" t="inlineStr">
        <x:is>
          <x:t xml:space="preserve">Cao</x:t>
        </x:is>
      </x:c>
      <x:c r="N28" s="8" t="inlineStr">
        <x:is>
          <x:t xml:space="preserve">Chưa làm</x:t>
        </x:is>
      </x:c>
      <x:c r="O28" s="10">
        <x:v>0</x:v>
      </x:c>
      <x:c r="P28" s="4" t="inlineStr">
        <x:is>
          <x:t xml:space="preserve">UI mẫu giao dịch định kỳ</x:t>
        </x:is>
      </x:c>
      <x:c r="Q28" s="4" t="inlineStr">
        <x:is>
          <x:t xml:space="preserve"/>
        </x:is>
      </x:c>
      <x:c r="R28" s="4" t="inlineStr">
        <x:is>
          <x:t xml:space="preserve"/>
        </x:is>
      </x:c>
    </x:row>
    <x:row r="29" ht="80" customHeight="1">
      <x:c r="A29" s="9">
        <x:v>24</x:v>
      </x:c>
      <x:c r="B29" s="9" t="inlineStr">
        <x:is>
          <x:t xml:space="preserve">SE2-D08-DB</x:t>
        </x:is>
      </x:c>
      <x:c r="C29" s="9" t="str">
        <x:v>Đợt 2</x:v>
      </x:c>
      <x:c r="D29" s="9" t="inlineStr">
        <x:is>
          <x:t xml:space="preserve">D08</x:t>
        </x:is>
      </x:c>
      <x:c r="E29" s="9" t="inlineStr">
        <x:is>
          <x:t xml:space="preserve">FR-08,FR-12</x:t>
        </x:is>
      </x:c>
      <x:c r="F29" s="5" t="inlineStr">
        <x:is>
          <x:t xml:space="preserve">Migration recurring templates</x:t>
        </x:is>
      </x:c>
      <x:c r="G29" s="5" t="inlineStr">
        <x:is>
          <x:t xml:space="preserve">1. Tạo bảng recurring_templates, user/category FK
2. Thêm active, day_of_month, created_at
3. Test thêm/sửa/hủy mẫu không mất giao dịch cũ
4. Kiểm tra migration và backup</x:t>
        </x:is>
      </x:c>
      <x:c r="H29" s="5" t="inlineStr">
        <x:is>
          <x:t xml:space="preserve">Phạm Hương Quỳnh</x:t>
        </x:is>
      </x:c>
      <x:c r="I29" s="5" t="str">
        <x:v>feature/quynh</x:v>
      </x:c>
      <x:c r="J29" s="28" t="n">
        <x:v>46331</x:v>
      </x:c>
      <x:c r="K29" s="28" t="n">
        <x:v>46331</x:v>
      </x:c>
      <x:c r="L29" s="9">
        <x:v>1</x:v>
      </x:c>
      <x:c r="M29" s="9" t="inlineStr">
        <x:is>
          <x:t xml:space="preserve">Cao</x:t>
        </x:is>
      </x:c>
      <x:c r="N29" s="9" t="inlineStr">
        <x:is>
          <x:t xml:space="preserve">Chưa làm</x:t>
        </x:is>
      </x:c>
      <x:c r="O29" s="11">
        <x:v>0</x:v>
      </x:c>
      <x:c r="P29" s="5" t="inlineStr">
        <x:is>
          <x:t xml:space="preserve">Schema template và kiểm thử dữ liệu</x:t>
        </x:is>
      </x:c>
      <x:c r="Q29" s="5" t="inlineStr">
        <x:is>
          <x:t xml:space="preserve"/>
        </x:is>
      </x:c>
      <x:c r="R29" s="5" t="inlineStr">
        <x:is>
          <x:t xml:space="preserve"/>
        </x:is>
      </x:c>
    </x:row>
    <x:row r="30" ht="80" customHeight="1">
      <x:c r="A30" s="8">
        <x:v>25</x:v>
      </x:c>
      <x:c r="B30" s="8" t="inlineStr">
        <x:is>
          <x:t xml:space="preserve">SE2-D09-BE</x:t>
        </x:is>
      </x:c>
      <x:c r="C30" s="8" t="str">
        <x:v>Đợt 2</x:v>
      </x:c>
      <x:c r="D30" s="8" t="inlineStr">
        <x:is>
          <x:t xml:space="preserve">D09</x:t>
        </x:is>
      </x:c>
      <x:c r="E30" s="8" t="inlineStr">
        <x:is>
          <x:t xml:space="preserve">FR-08</x:t>
        </x:is>
      </x:c>
      <x:c r="F30" s="4" t="inlineStr">
        <x:is>
          <x:t xml:space="preserve">API áp dụng mẫu theo kỳ chống trùng</x:t>
        </x:is>
      </x:c>
      <x:c r="G30" s="4" t="inlineStr">
        <x:is>
          <x:t xml:space="preserve">1. Thiết kế nút Apply tháng-năm do user bấm
2. Lưu dấu vết kỳ mẫu đã áp dụng unique
3. Đảm bảo transaction + dấu vết trong một transaction DB
4. Viết test apply hai lần/đồng thời</x:t>
        </x:is>
      </x:c>
      <x:c r="H30" s="4" t="inlineStr">
        <x:is>
          <x:t xml:space="preserve">Tô Anh Tuấn</x:t>
        </x:is>
      </x:c>
      <x:c r="I30" s="4" t="str">
        <x:v>feature/tuan</x:v>
      </x:c>
      <x:c r="J30" s="27" t="n">
        <x:v>46332</x:v>
      </x:c>
      <x:c r="K30" s="27" t="n">
        <x:v>46332</x:v>
      </x:c>
      <x:c r="L30" s="8">
        <x:v>1</x:v>
      </x:c>
      <x:c r="M30" s="8" t="inlineStr">
        <x:is>
          <x:t xml:space="preserve">Cao</x:t>
        </x:is>
      </x:c>
      <x:c r="N30" s="8" t="inlineStr">
        <x:is>
          <x:t xml:space="preserve">Chưa làm</x:t>
        </x:is>
      </x:c>
      <x:c r="O30" s="10">
        <x:v>0</x:v>
      </x:c>
      <x:c r="P30" s="4" t="inlineStr">
        <x:is>
          <x:t xml:space="preserve">Không tạo trùng giao dịch khi áp dụng mẫu</x:t>
        </x:is>
      </x:c>
      <x:c r="Q30" s="4" t="inlineStr">
        <x:is>
          <x:t xml:space="preserve"/>
        </x:is>
      </x:c>
      <x:c r="R30" s="4" t="inlineStr">
        <x:is>
          <x:t xml:space="preserve"/>
        </x:is>
      </x:c>
    </x:row>
    <x:row r="31" ht="80" customHeight="1">
      <x:c r="A31" s="9">
        <x:v>26</x:v>
      </x:c>
      <x:c r="B31" s="9" t="inlineStr">
        <x:is>
          <x:t xml:space="preserve">SE2-D09-FE</x:t>
        </x:is>
      </x:c>
      <x:c r="C31" s="9" t="str">
        <x:v>Đợt 2</x:v>
      </x:c>
      <x:c r="D31" s="9" t="inlineStr">
        <x:is>
          <x:t xml:space="preserve">D09</x:t>
        </x:is>
      </x:c>
      <x:c r="E31" s="9" t="inlineStr">
        <x:is>
          <x:t xml:space="preserve">FR-08,FR-03</x:t>
        </x:is>
      </x:c>
      <x:c r="F31" s="5" t="inlineStr">
        <x:is>
          <x:t xml:space="preserve">Giao diện áp dụng mẫu vào tháng</x:t>
        </x:is>
      </x:c>
      <x:c r="G31" s="5" t="inlineStr">
        <x:is>
          <x:t xml:space="preserve">1. Nút Áp dụng vào tháng chọn và confirm
2. Hiển thị bản ghi sắp tạo để kiểm tra
3. Refetch Calendar/Transaction sau thành công
4. Hiển thị lỗi nếu kỳ đã áp dụng</x:t>
        </x:is>
      </x:c>
      <x:c r="H31" s="5" t="inlineStr">
        <x:is>
          <x:t xml:space="preserve">Trần Thị Thu Trang</x:t>
        </x:is>
      </x:c>
      <x:c r="I31" s="5" t="str">
        <x:v>feature/trang</x:v>
      </x:c>
      <x:c r="J31" s="28" t="n">
        <x:v>46332</x:v>
      </x:c>
      <x:c r="K31" s="28" t="n">
        <x:v>46332</x:v>
      </x:c>
      <x:c r="L31" s="9">
        <x:v>1</x:v>
      </x:c>
      <x:c r="M31" s="9" t="inlineStr">
        <x:is>
          <x:t xml:space="preserve">Cao</x:t>
        </x:is>
      </x:c>
      <x:c r="N31" s="9" t="inlineStr">
        <x:is>
          <x:t xml:space="preserve">Chưa làm</x:t>
        </x:is>
      </x:c>
      <x:c r="O31" s="11">
        <x:v>0</x:v>
      </x:c>
      <x:c r="P31" s="5" t="inlineStr">
        <x:is>
          <x:t xml:space="preserve">Người dùng áp dụng mẫu một lần mỗi kỳ</x:t>
        </x:is>
      </x:c>
      <x:c r="Q31" s="5" t="inlineStr">
        <x:is>
          <x:t xml:space="preserve"/>
        </x:is>
      </x:c>
      <x:c r="R31" s="5" t="inlineStr">
        <x:is>
          <x:t xml:space="preserve"/>
        </x:is>
      </x:c>
    </x:row>
    <x:row r="32" ht="80" customHeight="1">
      <x:c r="A32" s="8">
        <x:v>27</x:v>
      </x:c>
      <x:c r="B32" s="8" t="inlineStr">
        <x:is>
          <x:t xml:space="preserve">SE2-D09-DB</x:t>
        </x:is>
      </x:c>
      <x:c r="C32" s="8" t="str">
        <x:v>Đợt 2</x:v>
      </x:c>
      <x:c r="D32" s="8" t="inlineStr">
        <x:is>
          <x:t xml:space="preserve">D09</x:t>
        </x:is>
      </x:c>
      <x:c r="E32" s="8" t="inlineStr">
        <x:is>
          <x:t xml:space="preserve">FR-08,FR-12</x:t>
        </x:is>
      </x:c>
      <x:c r="F32" s="4" t="inlineStr">
        <x:is>
          <x:t xml:space="preserve">Test idempotency và transaction rollback</x:t>
        </x:is>
      </x:c>
      <x:c r="G32" s="4" t="inlineStr">
        <x:is>
          <x:t xml:space="preserve">1. Test nhấn apply hai lần với cùng mẫu/kỳ
2. Test hai tài khoản có template giống nhau
3. Test rollback khi category không hợp lệ
4. Đối chiếu số giao dịch trước/sau apply</x:t>
        </x:is>
      </x:c>
      <x:c r="H32" s="4" t="inlineStr">
        <x:is>
          <x:t xml:space="preserve">Phạm Hương Quỳnh</x:t>
        </x:is>
      </x:c>
      <x:c r="I32" s="4" t="str">
        <x:v>feature/quynh</x:v>
      </x:c>
      <x:c r="J32" s="27" t="n">
        <x:v>46332</x:v>
      </x:c>
      <x:c r="K32" s="27" t="n">
        <x:v>46332</x:v>
      </x:c>
      <x:c r="L32" s="8">
        <x:v>1</x:v>
      </x:c>
      <x:c r="M32" s="8" t="inlineStr">
        <x:is>
          <x:t xml:space="preserve">Cao</x:t>
        </x:is>
      </x:c>
      <x:c r="N32" s="8" t="inlineStr">
        <x:is>
          <x:t xml:space="preserve">Chưa làm</x:t>
        </x:is>
      </x:c>
      <x:c r="O32" s="10">
        <x:v>0</x:v>
      </x:c>
      <x:c r="P32" s="4" t="inlineStr">
        <x:is>
          <x:t xml:space="preserve">Không trùng dữ liệu sau test áp dụng</x:t>
        </x:is>
      </x:c>
      <x:c r="Q32" s="4" t="inlineStr">
        <x:is>
          <x:t xml:space="preserve"/>
        </x:is>
      </x:c>
      <x:c r="R32" s="4" t="inlineStr">
        <x:is>
          <x:t xml:space="preserve"/>
        </x:is>
      </x:c>
    </x:row>
    <x:row r="33" ht="80" customHeight="1">
      <x:c r="A33" s="9">
        <x:v>28</x:v>
      </x:c>
      <x:c r="B33" s="9" t="inlineStr">
        <x:is>
          <x:t xml:space="preserve">SE2-D10-BE</x:t>
        </x:is>
      </x:c>
      <x:c r="C33" s="9" t="str">
        <x:v>Đợt 3</x:v>
      </x:c>
      <x:c r="D33" s="9" t="inlineStr">
        <x:is>
          <x:t xml:space="preserve">D10</x:t>
        </x:is>
      </x:c>
      <x:c r="E33" s="9" t="inlineStr">
        <x:is>
          <x:t xml:space="preserve">FR-09</x:t>
        </x:is>
      </x:c>
      <x:c r="F33" s="5" t="inlineStr">
        <x:is>
          <x:t xml:space="preserve">Báo cáo thu chi theo tháng/nhiều tháng</x:t>
        </x:is>
      </x:c>
      <x:c r="G33" s="5" t="inlineStr">
        <x:is>
          <x:t xml:space="preserve">1. Đặc tả khoảng tháng và nhóm theo month/category
2. API trả tổng thu/chi/chênh lệch từng tháng
3. Giới hạn khoảng thời gian và userId JWT
4. Viết test so sánh SQL 3–6 tháng</x:t>
        </x:is>
      </x:c>
      <x:c r="H33" s="5" t="inlineStr">
        <x:is>
          <x:t xml:space="preserve">Tô Anh Tuấn</x:t>
        </x:is>
      </x:c>
      <x:c r="I33" s="5" t="str">
        <x:v>feature/tuan</x:v>
      </x:c>
      <x:c r="J33" s="28" t="n">
        <x:v>46335</x:v>
      </x:c>
      <x:c r="K33" s="28" t="n">
        <x:v>46335</x:v>
      </x:c>
      <x:c r="L33" s="9">
        <x:v>1</x:v>
      </x:c>
      <x:c r="M33" s="9" t="inlineStr">
        <x:is>
          <x:t xml:space="preserve">Trung bình</x:t>
        </x:is>
      </x:c>
      <x:c r="N33" s="9" t="inlineStr">
        <x:is>
          <x:t xml:space="preserve">Chưa làm</x:t>
        </x:is>
      </x:c>
      <x:c r="O33" s="11">
        <x:v>0</x:v>
      </x:c>
      <x:c r="P33" s="5" t="inlineStr">
        <x:is>
          <x:t xml:space="preserve">API reports monthly/trends có test</x:t>
        </x:is>
      </x:c>
      <x:c r="Q33" s="5" t="inlineStr">
        <x:is>
          <x:t xml:space="preserve"/>
        </x:is>
      </x:c>
      <x:c r="R33" s="5" t="inlineStr">
        <x:is>
          <x:t xml:space="preserve"/>
        </x:is>
      </x:c>
    </x:row>
    <x:row r="34" ht="80" customHeight="1">
      <x:c r="A34" s="8">
        <x:v>29</x:v>
      </x:c>
      <x:c r="B34" s="8" t="inlineStr">
        <x:is>
          <x:t xml:space="preserve">SE2-D10-FE</x:t>
        </x:is>
      </x:c>
      <x:c r="C34" s="8" t="str">
        <x:v>Đợt 3</x:v>
      </x:c>
      <x:c r="D34" s="8" t="inlineStr">
        <x:is>
          <x:t xml:space="preserve">D10</x:t>
        </x:is>
      </x:c>
      <x:c r="E34" s="8" t="inlineStr">
        <x:is>
          <x:t xml:space="preserve">FR-09,FR-11</x:t>
        </x:is>
      </x:c>
      <x:c r="F34" s="4" t="inlineStr">
        <x:is>
          <x:t xml:space="preserve">Trang báo cáo nâng cao</x:t>
        </x:is>
      </x:c>
      <x:c r="G34" s="4" t="inlineStr">
        <x:is>
          <x:t xml:space="preserve">1. Tạo filter chọn khoảng tháng
2. Vẽ cột so sánh thu và chi bằng Recharts
3. Bổ sung bảng chi tiêu theo danh mục và legend
4. Empty state, loading, tooltip mobile</x:t>
        </x:is>
      </x:c>
      <x:c r="H34" s="4" t="inlineStr">
        <x:is>
          <x:t xml:space="preserve">Trần Thị Thu Trang</x:t>
        </x:is>
      </x:c>
      <x:c r="I34" s="4" t="str">
        <x:v>feature/trang</x:v>
      </x:c>
      <x:c r="J34" s="27" t="n">
        <x:v>46335</x:v>
      </x:c>
      <x:c r="K34" s="27" t="n">
        <x:v>46335</x:v>
      </x:c>
      <x:c r="L34" s="8">
        <x:v>1</x:v>
      </x:c>
      <x:c r="M34" s="8" t="inlineStr">
        <x:is>
          <x:t xml:space="preserve">Trung bình</x:t>
        </x:is>
      </x:c>
      <x:c r="N34" s="8" t="inlineStr">
        <x:is>
          <x:t xml:space="preserve">Chưa làm</x:t>
        </x:is>
      </x:c>
      <x:c r="O34" s="10">
        <x:v>0</x:v>
      </x:c>
      <x:c r="P34" s="4" t="inlineStr">
        <x:is>
          <x:t xml:space="preserve">Report có dữ liệu thật và biểu đồ</x:t>
        </x:is>
      </x:c>
      <x:c r="Q34" s="4" t="inlineStr">
        <x:is>
          <x:t xml:space="preserve"/>
        </x:is>
      </x:c>
      <x:c r="R34" s="4" t="inlineStr">
        <x:is>
          <x:t xml:space="preserve"/>
        </x:is>
      </x:c>
    </x:row>
    <x:row r="35" ht="80" customHeight="1">
      <x:c r="A35" s="9">
        <x:v>30</x:v>
      </x:c>
      <x:c r="B35" s="9" t="inlineStr">
        <x:is>
          <x:t xml:space="preserve">SE2-D10-DB</x:t>
        </x:is>
      </x:c>
      <x:c r="C35" s="9" t="str">
        <x:v>Đợt 3</x:v>
      </x:c>
      <x:c r="D35" s="9" t="inlineStr">
        <x:is>
          <x:t xml:space="preserve">D10</x:t>
        </x:is>
      </x:c>
      <x:c r="E35" s="9" t="inlineStr">
        <x:is>
          <x:t xml:space="preserve">FR-09,FR-12</x:t>
        </x:is>
      </x:c>
      <x:c r="F35" s="5" t="inlineStr">
        <x:is>
          <x:t xml:space="preserve">Kiểm thử thống kê và hiệu năng</x:t>
        </x:is>
      </x:c>
      <x:c r="G35" s="5" t="inlineStr">
        <x:is>
          <x:t xml:space="preserve">1. Đối chiếu report với Dashboard theo tháng
2. Test tháng 0 giao dịch và dữ liệu lớn
3. Test quyền sở hữu nhiều tài khoản
4. Đánh giá query plan và index cần thiết</x:t>
        </x:is>
      </x:c>
      <x:c r="H35" s="5" t="inlineStr">
        <x:is>
          <x:t xml:space="preserve">Phạm Hương Quỳnh</x:t>
        </x:is>
      </x:c>
      <x:c r="I35" s="5" t="str">
        <x:v>feature/quynh</x:v>
      </x:c>
      <x:c r="J35" s="28" t="n">
        <x:v>46335</x:v>
      </x:c>
      <x:c r="K35" s="28" t="n">
        <x:v>46335</x:v>
      </x:c>
      <x:c r="L35" s="9">
        <x:v>1</x:v>
      </x:c>
      <x:c r="M35" s="9" t="inlineStr">
        <x:is>
          <x:t xml:space="preserve">Trung bình</x:t>
        </x:is>
      </x:c>
      <x:c r="N35" s="9" t="inlineStr">
        <x:is>
          <x:t xml:space="preserve">Chưa làm</x:t>
        </x:is>
      </x:c>
      <x:c r="O35" s="11">
        <x:v>0</x:v>
      </x:c>
      <x:c r="P35" s="5" t="inlineStr">
        <x:is>
          <x:t xml:space="preserve">Báo cáo kiểm tra số liệu báo cáo</x:t>
        </x:is>
      </x:c>
      <x:c r="Q35" s="5" t="inlineStr">
        <x:is>
          <x:t xml:space="preserve"/>
        </x:is>
      </x:c>
      <x:c r="R35" s="5" t="inlineStr">
        <x:is>
          <x:t xml:space="preserve"/>
        </x:is>
      </x:c>
    </x:row>
    <x:row r="36" ht="80" customHeight="1">
      <x:c r="A36" s="8">
        <x:v>31</x:v>
      </x:c>
      <x:c r="B36" s="8" t="inlineStr">
        <x:is>
          <x:t xml:space="preserve">SE2-D11-BE</x:t>
        </x:is>
      </x:c>
      <x:c r="C36" s="8" t="str">
        <x:v>Đợt 3</x:v>
      </x:c>
      <x:c r="D36" s="8" t="inlineStr">
        <x:is>
          <x:t xml:space="preserve">D11</x:t>
        </x:is>
      </x:c>
      <x:c r="E36" s="8" t="inlineStr">
        <x:is>
          <x:t xml:space="preserve">FR-10</x:t>
        </x:is>
      </x:c>
      <x:c r="F36" s="4" t="inlineStr">
        <x:is>
          <x:t xml:space="preserve">API xuất CSV an toàn</x:t>
        </x:is>
      </x:c>
      <x:c r="G36" s="4" t="inlineStr">
        <x:is>
          <x:t xml:space="preserve">1. Xuất giao dịch user hiện tại theo bộ lọc
2. UTF-8 BOM, header tiếng Việt và cột ổn định
3. Escape dấu phẩy, nháy và formula injection
4. Giới hạn số bản ghi và unit test export</x:t>
        </x:is>
      </x:c>
      <x:c r="H36" s="4" t="inlineStr">
        <x:is>
          <x:t xml:space="preserve">Tô Anh Tuấn</x:t>
        </x:is>
      </x:c>
      <x:c r="I36" s="4" t="str">
        <x:v>feature/tuan</x:v>
      </x:c>
      <x:c r="J36" s="27" t="n">
        <x:v>46336</x:v>
      </x:c>
      <x:c r="K36" s="27" t="n">
        <x:v>46336</x:v>
      </x:c>
      <x:c r="L36" s="8">
        <x:v>1</x:v>
      </x:c>
      <x:c r="M36" s="8" t="inlineStr">
        <x:is>
          <x:t xml:space="preserve">Trung bình</x:t>
        </x:is>
      </x:c>
      <x:c r="N36" s="8" t="inlineStr">
        <x:is>
          <x:t xml:space="preserve">Chưa làm</x:t>
        </x:is>
      </x:c>
      <x:c r="O36" s="10">
        <x:v>0</x:v>
      </x:c>
      <x:c r="P36" s="4" t="inlineStr">
        <x:is>
          <x:t xml:space="preserve">File CSV đúng và an toàn khi mở Excel</x:t>
        </x:is>
      </x:c>
      <x:c r="Q36" s="4" t="inlineStr">
        <x:is>
          <x:t xml:space="preserve"/>
        </x:is>
      </x:c>
      <x:c r="R36" s="4" t="inlineStr">
        <x:is>
          <x:t xml:space="preserve"/>
        </x:is>
      </x:c>
    </x:row>
    <x:row r="37" ht="80" customHeight="1">
      <x:c r="A37" s="9">
        <x:v>32</x:v>
      </x:c>
      <x:c r="B37" s="9" t="inlineStr">
        <x:is>
          <x:t xml:space="preserve">SE2-D11-FE</x:t>
        </x:is>
      </x:c>
      <x:c r="C37" s="9" t="str">
        <x:v>Đợt 3</x:v>
      </x:c>
      <x:c r="D37" s="9" t="inlineStr">
        <x:is>
          <x:t xml:space="preserve">D11</x:t>
        </x:is>
      </x:c>
      <x:c r="E37" s="9" t="inlineStr">
        <x:is>
          <x:t xml:space="preserve">FR-10,FR-11</x:t>
        </x:is>
      </x:c>
      <x:c r="F37" s="5" t="inlineStr">
        <x:is>
          <x:t xml:space="preserve">Chức năng tải CSV và UX thông báo</x:t>
        </x:is>
      </x:c>
      <x:c r="G37" s="5" t="inlineStr">
        <x:is>
          <x:t xml:space="preserve">1. Nút tải CSV trong Transactions/Reports
2. Gửi query bộ lọc hiện tại đến API
3. Xử lý response blob và đặt tên file
4. Thông báo tải thành công/thất bại</x:t>
        </x:is>
      </x:c>
      <x:c r="H37" s="5" t="inlineStr">
        <x:is>
          <x:t xml:space="preserve">Trần Thị Thu Trang</x:t>
        </x:is>
      </x:c>
      <x:c r="I37" s="5" t="str">
        <x:v>feature/trang</x:v>
      </x:c>
      <x:c r="J37" s="28" t="n">
        <x:v>46336</x:v>
      </x:c>
      <x:c r="K37" s="28" t="n">
        <x:v>46336</x:v>
      </x:c>
      <x:c r="L37" s="9">
        <x:v>1</x:v>
      </x:c>
      <x:c r="M37" s="9" t="inlineStr">
        <x:is>
          <x:t xml:space="preserve">Trung bình</x:t>
        </x:is>
      </x:c>
      <x:c r="N37" s="9" t="inlineStr">
        <x:is>
          <x:t xml:space="preserve">Chưa làm</x:t>
        </x:is>
      </x:c>
      <x:c r="O37" s="11">
        <x:v>0</x:v>
      </x:c>
      <x:c r="P37" s="5" t="inlineStr">
        <x:is>
          <x:t xml:space="preserve">Tải CSV theo bộ lọc từ giao diện</x:t>
        </x:is>
      </x:c>
      <x:c r="Q37" s="5" t="inlineStr">
        <x:is>
          <x:t xml:space="preserve"/>
        </x:is>
      </x:c>
      <x:c r="R37" s="5" t="inlineStr">
        <x:is>
          <x:t xml:space="preserve"/>
        </x:is>
      </x:c>
    </x:row>
    <x:row r="38" ht="80" customHeight="1">
      <x:c r="A38" s="8">
        <x:v>33</x:v>
      </x:c>
      <x:c r="B38" s="8" t="inlineStr">
        <x:is>
          <x:t xml:space="preserve">SE2-D11-DB</x:t>
        </x:is>
      </x:c>
      <x:c r="C38" s="8" t="str">
        <x:v>Đợt 3</x:v>
      </x:c>
      <x:c r="D38" s="8" t="inlineStr">
        <x:is>
          <x:t xml:space="preserve">D11</x:t>
        </x:is>
      </x:c>
      <x:c r="E38" s="8" t="inlineStr">
        <x:is>
          <x:t xml:space="preserve">FR-10,FR-12</x:t>
        </x:is>
      </x:c>
      <x:c r="F38" s="4" t="inlineStr">
        <x:is>
          <x:t xml:space="preserve">QA CSV và khả năng nhập Excel</x:t>
        </x:is>
      </x:c>
      <x:c r="G38" s="4" t="inlineStr">
        <x:is>
          <x:t xml:space="preserve">1. Test unicode tiếng Việt, ký tự đặc biệt
2. Test CSV injection bằng chuỗi bắt đầu dấu = + - @
3. So sánh số dòng với kết quả API
4. Test tài khoản khác và file rỗng</x:t>
        </x:is>
      </x:c>
      <x:c r="H38" s="4" t="inlineStr">
        <x:is>
          <x:t xml:space="preserve">Phạm Hương Quỳnh</x:t>
        </x:is>
      </x:c>
      <x:c r="I38" s="4" t="str">
        <x:v>feature/quynh</x:v>
      </x:c>
      <x:c r="J38" s="27" t="n">
        <x:v>46336</x:v>
      </x:c>
      <x:c r="K38" s="27" t="n">
        <x:v>46336</x:v>
      </x:c>
      <x:c r="L38" s="8">
        <x:v>1</x:v>
      </x:c>
      <x:c r="M38" s="8" t="inlineStr">
        <x:is>
          <x:t xml:space="preserve">Trung bình</x:t>
        </x:is>
      </x:c>
      <x:c r="N38" s="8" t="inlineStr">
        <x:is>
          <x:t xml:space="preserve">Chưa làm</x:t>
        </x:is>
      </x:c>
      <x:c r="O38" s="10">
        <x:v>0</x:v>
      </x:c>
      <x:c r="P38" s="4" t="inlineStr">
        <x:is>
          <x:t xml:space="preserve">Biên bản QA CSV có bằng chứng</x:t>
        </x:is>
      </x:c>
      <x:c r="Q38" s="4" t="inlineStr">
        <x:is>
          <x:t xml:space="preserve"/>
        </x:is>
      </x:c>
      <x:c r="R38" s="4" t="inlineStr">
        <x:is>
          <x:t xml:space="preserve"/>
        </x:is>
      </x:c>
    </x:row>
    <x:row r="39" ht="80" customHeight="1">
      <x:c r="A39" s="9">
        <x:v>34</x:v>
      </x:c>
      <x:c r="B39" s="9" t="inlineStr">
        <x:is>
          <x:t xml:space="preserve">SE2-D12-BE</x:t>
        </x:is>
      </x:c>
      <x:c r="C39" s="9" t="str">
        <x:v>Đợt 3</x:v>
      </x:c>
      <x:c r="D39" s="9" t="inlineStr">
        <x:is>
          <x:t xml:space="preserve">D12</x:t>
        </x:is>
      </x:c>
      <x:c r="E39" s="9" t="inlineStr">
        <x:is>
          <x:t xml:space="preserve">FR-01,FR-05,FR-12</x:t>
        </x:is>
      </x:c>
      <x:c r="F39" s="5" t="inlineStr">
        <x:is>
          <x:t xml:space="preserve">Rà soát bảo mật và API nhất quán</x:t>
        </x:is>
      </x:c>
      <x:c r="G39" s="5" t="inlineStr">
        <x:is>
          <x:t xml:space="preserve">1. Kiểm tra 401/403/404/409 và validation
2. Không lộ dữ liệu nếu dùng ID của người khác
3. Rà soát lỗi null, phân trang, thông báo
4. Bổ sung test API hồi quy</x:t>
        </x:is>
      </x:c>
      <x:c r="H39" s="5" t="inlineStr">
        <x:is>
          <x:t xml:space="preserve">Tô Anh Tuấn</x:t>
        </x:is>
      </x:c>
      <x:c r="I39" s="5" t="str">
        <x:v>feature/tuan</x:v>
      </x:c>
      <x:c r="J39" s="28" t="n">
        <x:v>46337</x:v>
      </x:c>
      <x:c r="K39" s="28" t="n">
        <x:v>46337</x:v>
      </x:c>
      <x:c r="L39" s="9">
        <x:v>1</x:v>
      </x:c>
      <x:c r="M39" s="9" t="inlineStr">
        <x:is>
          <x:t xml:space="preserve">Trung bình</x:t>
        </x:is>
      </x:c>
      <x:c r="N39" s="9" t="inlineStr">
        <x:is>
          <x:t xml:space="preserve">Chưa làm</x:t>
        </x:is>
      </x:c>
      <x:c r="O39" s="11">
        <x:v>0</x:v>
      </x:c>
      <x:c r="P39" s="5" t="inlineStr">
        <x:is>
          <x:t xml:space="preserve">Backend regression và security checklist</x:t>
        </x:is>
      </x:c>
      <x:c r="Q39" s="5" t="inlineStr">
        <x:is>
          <x:t xml:space="preserve"/>
        </x:is>
      </x:c>
      <x:c r="R39" s="5" t="inlineStr">
        <x:is>
          <x:t xml:space="preserve"/>
        </x:is>
      </x:c>
    </x:row>
    <x:row r="40" ht="80" customHeight="1">
      <x:c r="A40" s="8">
        <x:v>35</x:v>
      </x:c>
      <x:c r="B40" s="8" t="inlineStr">
        <x:is>
          <x:t xml:space="preserve">SE2-D12-FE</x:t>
        </x:is>
      </x:c>
      <x:c r="C40" s="8" t="str">
        <x:v>Đợt 3</x:v>
      </x:c>
      <x:c r="D40" s="8" t="inlineStr">
        <x:is>
          <x:t xml:space="preserve">D12</x:t>
        </x:is>
      </x:c>
      <x:c r="E40" s="8" t="inlineStr">
        <x:is>
          <x:t xml:space="preserve">FR-11,FR-12</x:t>
        </x:is>
      </x:c>
      <x:c r="F40" s="4" t="inlineStr">
        <x:is>
          <x:t xml:space="preserve">Hoàn thiện loading/error/empty states</x:t>
        </x:is>
      </x:c>
      <x:c r="G40" s="4" t="inlineStr">
        <x:is>
          <x:t xml:space="preserve">1. Loại bỏ dữ liệu fallback giả khi API lỗi
2. Thống nhất Toast cho 401/500/network fail
3. Kiểm tra focus modal, tab, escape
4. Sync logout khi API 401 hết phiên</x:t>
        </x:is>
      </x:c>
      <x:c r="H40" s="4" t="inlineStr">
        <x:is>
          <x:t xml:space="preserve">Trần Thị Thu Trang</x:t>
        </x:is>
      </x:c>
      <x:c r="I40" s="4" t="str">
        <x:v>feature/trang</x:v>
      </x:c>
      <x:c r="J40" s="27" t="n">
        <x:v>46337</x:v>
      </x:c>
      <x:c r="K40" s="27" t="n">
        <x:v>46337</x:v>
      </x:c>
      <x:c r="L40" s="8">
        <x:v>1</x:v>
      </x:c>
      <x:c r="M40" s="8" t="inlineStr">
        <x:is>
          <x:t xml:space="preserve">Trung bình</x:t>
        </x:is>
      </x:c>
      <x:c r="N40" s="8" t="inlineStr">
        <x:is>
          <x:t xml:space="preserve">Chưa làm</x:t>
        </x:is>
      </x:c>
      <x:c r="O40" s="10">
        <x:v>0</x:v>
      </x:c>
      <x:c r="P40" s="4" t="inlineStr">
        <x:is>
          <x:t xml:space="preserve">UX nhất quán khi lỗi mạng/hết phiên</x:t>
        </x:is>
      </x:c>
      <x:c r="Q40" s="4" t="inlineStr">
        <x:is>
          <x:t xml:space="preserve"/>
        </x:is>
      </x:c>
      <x:c r="R40" s="4" t="inlineStr">
        <x:is>
          <x:t xml:space="preserve"/>
        </x:is>
      </x:c>
    </x:row>
    <x:row r="41" ht="80" customHeight="1">
      <x:c r="A41" s="9">
        <x:v>36</x:v>
      </x:c>
      <x:c r="B41" s="9" t="inlineStr">
        <x:is>
          <x:t xml:space="preserve">SE2-D12-DB</x:t>
        </x:is>
      </x:c>
      <x:c r="C41" s="9" t="str">
        <x:v>Đợt 3</x:v>
      </x:c>
      <x:c r="D41" s="9" t="inlineStr">
        <x:is>
          <x:t xml:space="preserve">D12</x:t>
        </x:is>
      </x:c>
      <x:c r="E41" s="9" t="inlineStr">
        <x:is>
          <x:t xml:space="preserve">FR-12</x:t>
        </x:is>
      </x:c>
      <x:c r="F41" s="5" t="inlineStr">
        <x:is>
          <x:t xml:space="preserve">Bộ Postman/Newman &amp; kiểm thử tích hợp</x:t>
        </x:is>
      </x:c>
      <x:c r="G41" s="5" t="inlineStr">
        <x:is>
          <x:t xml:space="preserve">1. Cập nhật collection cho các API mới
2. Chạy test từ account test riêng
3. Kiểm tra isolation, negative cases
4. Lưu logs/kết quả PASS FAIL cho mỗi FR</x:t>
        </x:is>
      </x:c>
      <x:c r="H41" s="5" t="inlineStr">
        <x:is>
          <x:t xml:space="preserve">Phạm Hương Quỳnh</x:t>
        </x:is>
      </x:c>
      <x:c r="I41" s="5" t="str">
        <x:v>feature/quynh</x:v>
      </x:c>
      <x:c r="J41" s="28" t="n">
        <x:v>46337</x:v>
      </x:c>
      <x:c r="K41" s="28" t="n">
        <x:v>46337</x:v>
      </x:c>
      <x:c r="L41" s="9">
        <x:v>1</x:v>
      </x:c>
      <x:c r="M41" s="9" t="inlineStr">
        <x:is>
          <x:t xml:space="preserve">Trung bình</x:t>
        </x:is>
      </x:c>
      <x:c r="N41" s="9" t="inlineStr">
        <x:is>
          <x:t xml:space="preserve">Chưa làm</x:t>
        </x:is>
      </x:c>
      <x:c r="O41" s="11">
        <x:v>0</x:v>
      </x:c>
      <x:c r="P41" s="5" t="inlineStr">
        <x:is>
          <x:t xml:space="preserve">Test report API đủ FR-01–FR-12</x:t>
        </x:is>
      </x:c>
      <x:c r="Q41" s="5" t="inlineStr">
        <x:is>
          <x:t xml:space="preserve"/>
        </x:is>
      </x:c>
      <x:c r="R41" s="5" t="inlineStr">
        <x:is>
          <x:t xml:space="preserve"/>
        </x:is>
      </x:c>
    </x:row>
    <x:row r="42" ht="80" customHeight="1">
      <x:c r="A42" s="8">
        <x:v>37</x:v>
      </x:c>
      <x:c r="B42" s="8" t="inlineStr">
        <x:is>
          <x:t xml:space="preserve">SE2-D13-BE</x:t>
        </x:is>
      </x:c>
      <x:c r="C42" s="8" t="str">
        <x:v>Đợt 3</x:v>
      </x:c>
      <x:c r="D42" s="8" t="inlineStr">
        <x:is>
          <x:t xml:space="preserve">D13</x:t>
        </x:is>
      </x:c>
      <x:c r="E42" s="8" t="inlineStr">
        <x:is>
          <x:t xml:space="preserve">FR-07,FR-09,FR-12</x:t>
        </x:is>
      </x:c>
      <x:c r="F42" s="4" t="inlineStr">
        <x:is>
          <x:t xml:space="preserve">Tối ưu truy vấn &amp; kiểm thử Backend</x:t>
        </x:is>
      </x:c>
      <x:c r="G42" s="4" t="inlineStr">
        <x:is>
          <x:t xml:space="preserve">1. Kiểm tra N+1 trong Category Budget/Report
2. Bổ sung integration test migration/recurring
3. Rà soát SQL index, error logging
4. Đánh dấu PR backend sẵn sàng release</x:t>
        </x:is>
      </x:c>
      <x:c r="H42" s="4" t="inlineStr">
        <x:is>
          <x:t xml:space="preserve">Tô Anh Tuấn</x:t>
        </x:is>
      </x:c>
      <x:c r="I42" s="4" t="str">
        <x:v>feature/tuan</x:v>
      </x:c>
      <x:c r="J42" s="27" t="n">
        <x:v>46338</x:v>
      </x:c>
      <x:c r="K42" s="27" t="n">
        <x:v>46338</x:v>
      </x:c>
      <x:c r="L42" s="8">
        <x:v>1</x:v>
      </x:c>
      <x:c r="M42" s="8" t="inlineStr">
        <x:is>
          <x:t xml:space="preserve">Trung bình</x:t>
        </x:is>
      </x:c>
      <x:c r="N42" s="8" t="inlineStr">
        <x:is>
          <x:t xml:space="preserve">Chưa làm</x:t>
        </x:is>
      </x:c>
      <x:c r="O42" s="10">
        <x:v>0</x:v>
      </x:c>
      <x:c r="P42" s="4" t="inlineStr">
        <x:is>
          <x:t xml:space="preserve">Backend green tests trên CI</x:t>
        </x:is>
      </x:c>
      <x:c r="Q42" s="4" t="inlineStr">
        <x:is>
          <x:t xml:space="preserve"/>
        </x:is>
      </x:c>
      <x:c r="R42" s="4" t="inlineStr">
        <x:is>
          <x:t xml:space="preserve"/>
        </x:is>
      </x:c>
    </x:row>
    <x:row r="43" ht="80" customHeight="1">
      <x:c r="A43" s="9">
        <x:v>38</x:v>
      </x:c>
      <x:c r="B43" s="9" t="inlineStr">
        <x:is>
          <x:t xml:space="preserve">SE2-D13-FE</x:t>
        </x:is>
      </x:c>
      <x:c r="C43" s="9" t="str">
        <x:v>Đợt 3</x:v>
      </x:c>
      <x:c r="D43" s="9" t="inlineStr">
        <x:is>
          <x:t xml:space="preserve">D13</x:t>
        </x:is>
      </x:c>
      <x:c r="E43" s="9" t="inlineStr">
        <x:is>
          <x:t xml:space="preserve">FR-11</x:t>
        </x:is>
      </x:c>
      <x:c r="F43" s="5" t="inlineStr">
        <x:is>
          <x:t xml:space="preserve">Responsive &amp; accessibility toàn bộ app</x:t>
        </x:is>
      </x:c>
      <x:c r="G43" s="5" t="inlineStr">
        <x:is>
          <x:t xml:space="preserve">1. Kiểm tra 375/768/1024/1440 px
2. Kiểm tra keyboard focus và form label
3. Hiệu chỉnh bottom nav/Quick Add mobile
4. Kiểm tra light/dark, text overflow</x:t>
        </x:is>
      </x:c>
      <x:c r="H43" s="5" t="inlineStr">
        <x:is>
          <x:t xml:space="preserve">Trần Thị Thu Trang</x:t>
        </x:is>
      </x:c>
      <x:c r="I43" s="5" t="str">
        <x:v>feature/trang</x:v>
      </x:c>
      <x:c r="J43" s="28" t="n">
        <x:v>46338</x:v>
      </x:c>
      <x:c r="K43" s="28" t="n">
        <x:v>46338</x:v>
      </x:c>
      <x:c r="L43" s="9">
        <x:v>1</x:v>
      </x:c>
      <x:c r="M43" s="9" t="inlineStr">
        <x:is>
          <x:t xml:space="preserve">Trung bình</x:t>
        </x:is>
      </x:c>
      <x:c r="N43" s="9" t="inlineStr">
        <x:is>
          <x:t xml:space="preserve">Chưa làm</x:t>
        </x:is>
      </x:c>
      <x:c r="O43" s="11">
        <x:v>0</x:v>
      </x:c>
      <x:c r="P43" s="5" t="inlineStr">
        <x:is>
          <x:t xml:space="preserve">Bằng chứng responsive 4 viewport</x:t>
        </x:is>
      </x:c>
      <x:c r="Q43" s="5" t="inlineStr">
        <x:is>
          <x:t xml:space="preserve"/>
        </x:is>
      </x:c>
      <x:c r="R43" s="5" t="inlineStr">
        <x:is>
          <x:t xml:space="preserve"/>
        </x:is>
      </x:c>
    </x:row>
    <x:row r="44" ht="80" customHeight="1">
      <x:c r="A44" s="8">
        <x:v>39</x:v>
      </x:c>
      <x:c r="B44" s="8" t="inlineStr">
        <x:is>
          <x:t xml:space="preserve">SE2-D13-DB</x:t>
        </x:is>
      </x:c>
      <x:c r="C44" s="8" t="str">
        <x:v>Đợt 3</x:v>
      </x:c>
      <x:c r="D44" s="8" t="inlineStr">
        <x:is>
          <x:t xml:space="preserve">D13</x:t>
        </x:is>
      </x:c>
      <x:c r="E44" s="8" t="inlineStr">
        <x:is>
          <x:t xml:space="preserve">FR-12</x:t>
        </x:is>
      </x:c>
      <x:c r="F44" s="4" t="inlineStr">
        <x:is>
          <x:t xml:space="preserve">Chặn deploy khi CI fail</x:t>
        </x:is>
      </x:c>
      <x:c r="G44" s="4" t="inlineStr">
        <x:is>
          <x:t xml:space="preserve">1. Kiểm tra workflow CI lint/test/build
2. Ràng buộc CD chỉ chạy khi CI đạt hoặc release được duyệt
3. Kiểm tra không dùng secrets trong log
4. Test CI fail giả lập an toàn ở nhánh test</x:t>
        </x:is>
      </x:c>
      <x:c r="H44" s="4" t="inlineStr">
        <x:is>
          <x:t xml:space="preserve">Phạm Hương Quỳnh</x:t>
        </x:is>
      </x:c>
      <x:c r="I44" s="4" t="str">
        <x:v>feature/quynh</x:v>
      </x:c>
      <x:c r="J44" s="27" t="n">
        <x:v>46338</x:v>
      </x:c>
      <x:c r="K44" s="27" t="n">
        <x:v>46338</x:v>
      </x:c>
      <x:c r="L44" s="8">
        <x:v>1</x:v>
      </x:c>
      <x:c r="M44" s="8" t="inlineStr">
        <x:is>
          <x:t xml:space="preserve">Trung bình</x:t>
        </x:is>
      </x:c>
      <x:c r="N44" s="8" t="inlineStr">
        <x:is>
          <x:t xml:space="preserve">Chưa làm</x:t>
        </x:is>
      </x:c>
      <x:c r="O44" s="10">
        <x:v>0</x:v>
      </x:c>
      <x:c r="P44" s="4" t="inlineStr">
        <x:is>
          <x:t xml:space="preserve">CI gate và checklist deploy rõ ràng</x:t>
        </x:is>
      </x:c>
      <x:c r="Q44" s="4" t="inlineStr">
        <x:is>
          <x:t xml:space="preserve"/>
        </x:is>
      </x:c>
      <x:c r="R44" s="4" t="inlineStr">
        <x:is>
          <x:t xml:space="preserve"/>
        </x:is>
      </x:c>
    </x:row>
    <x:row r="45" ht="80" customHeight="1">
      <x:c r="A45" s="9">
        <x:v>40</x:v>
      </x:c>
      <x:c r="B45" s="9" t="inlineStr">
        <x:is>
          <x:t xml:space="preserve">SE2-D14-BE</x:t>
        </x:is>
      </x:c>
      <x:c r="C45" s="9" t="str">
        <x:v>Đợt 3</x:v>
      </x:c>
      <x:c r="D45" s="9" t="inlineStr">
        <x:is>
          <x:t xml:space="preserve">D14</x:t>
        </x:is>
      </x:c>
      <x:c r="E45" s="9" t="inlineStr">
        <x:is>
          <x:t xml:space="preserve">FR-12</x:t>
        </x:is>
      </x:c>
      <x:c r="F45" s="5" t="inlineStr">
        <x:is>
          <x:t xml:space="preserve">Sửa bug tích hợp &amp; chốt API documentation</x:t>
        </x:is>
      </x:c>
      <x:c r="G45" s="5" t="inlineStr">
        <x:is>
          <x:t xml:space="preserve">1. Ưu tiên lỗi Blocker/Critical/High
2. Cập nhật API examples và response codes
3. Review PR liên quan migration/API
4. Chốt bản candidate từ dev</x:t>
        </x:is>
      </x:c>
      <x:c r="H45" s="5" t="inlineStr">
        <x:is>
          <x:t xml:space="preserve">Tô Anh Tuấn</x:t>
        </x:is>
      </x:c>
      <x:c r="I45" s="5" t="str">
        <x:v>feature/tuan</x:v>
      </x:c>
      <x:c r="J45" s="28" t="n">
        <x:v>46339</x:v>
      </x:c>
      <x:c r="K45" s="28" t="n">
        <x:v>46339</x:v>
      </x:c>
      <x:c r="L45" s="9">
        <x:v>1</x:v>
      </x:c>
      <x:c r="M45" s="9" t="inlineStr">
        <x:is>
          <x:t xml:space="preserve">Cao</x:t>
        </x:is>
      </x:c>
      <x:c r="N45" s="9" t="inlineStr">
        <x:is>
          <x:t xml:space="preserve">Chưa làm</x:t>
        </x:is>
      </x:c>
      <x:c r="O45" s="11">
        <x:v>0</x:v>
      </x:c>
      <x:c r="P45" s="5" t="inlineStr">
        <x:is>
          <x:t xml:space="preserve">API docs đồng bộ và bug critical bằng 0</x:t>
        </x:is>
      </x:c>
      <x:c r="Q45" s="5" t="inlineStr">
        <x:is>
          <x:t xml:space="preserve"/>
        </x:is>
      </x:c>
      <x:c r="R45" s="5" t="inlineStr">
        <x:is>
          <x:t xml:space="preserve"/>
        </x:is>
      </x:c>
    </x:row>
    <x:row r="46" ht="80" customHeight="1">
      <x:c r="A46" s="8">
        <x:v>41</x:v>
      </x:c>
      <x:c r="B46" s="8" t="inlineStr">
        <x:is>
          <x:t xml:space="preserve">SE2-D14-FE</x:t>
        </x:is>
      </x:c>
      <x:c r="C46" s="8" t="str">
        <x:v>Đợt 3</x:v>
      </x:c>
      <x:c r="D46" s="8" t="inlineStr">
        <x:is>
          <x:t xml:space="preserve">D14</x:t>
        </x:is>
      </x:c>
      <x:c r="E46" s="8" t="inlineStr">
        <x:is>
          <x:t xml:space="preserve">FR-03,FR-04,FR-07,FR-08,FR-09</x:t>
        </x:is>
      </x:c>
      <x:c r="F46" s="4" t="inlineStr">
        <x:is>
          <x:t xml:space="preserve">Kiểm thử E2E thủ công giao diện</x:t>
        </x:is>
      </x:c>
      <x:c r="G46" s="4" t="inlineStr">
        <x:is>
          <x:t xml:space="preserve">1. Chạy Register/Login/Quick Add/Calendar
2. Kiểm tra Category Budget/Recurring/Report
3. Kiểm tra mobile, dark mode, CSV
4. Ghi ảnh demo và sửa lỗi hiện diện</x:t>
        </x:is>
      </x:c>
      <x:c r="H46" s="4" t="inlineStr">
        <x:is>
          <x:t xml:space="preserve">Trần Thị Thu Trang</x:t>
        </x:is>
      </x:c>
      <x:c r="I46" s="4" t="str">
        <x:v>feature/trang</x:v>
      </x:c>
      <x:c r="J46" s="27" t="n">
        <x:v>46339</x:v>
      </x:c>
      <x:c r="K46" s="27" t="n">
        <x:v>46339</x:v>
      </x:c>
      <x:c r="L46" s="8">
        <x:v>1</x:v>
      </x:c>
      <x:c r="M46" s="8" t="inlineStr">
        <x:is>
          <x:t xml:space="preserve">Cao</x:t>
        </x:is>
      </x:c>
      <x:c r="N46" s="8" t="inlineStr">
        <x:is>
          <x:t xml:space="preserve">Chưa làm</x:t>
        </x:is>
      </x:c>
      <x:c r="O46" s="10">
        <x:v>0</x:v>
      </x:c>
      <x:c r="P46" s="4" t="inlineStr">
        <x:is>
          <x:t xml:space="preserve">Checklist UI nghiệm thu đầy đủ</x:t>
        </x:is>
      </x:c>
      <x:c r="Q46" s="4" t="inlineStr">
        <x:is>
          <x:t xml:space="preserve"/>
        </x:is>
      </x:c>
      <x:c r="R46" s="4" t="inlineStr">
        <x:is>
          <x:t xml:space="preserve"/>
        </x:is>
      </x:c>
    </x:row>
    <x:row r="47" ht="80" customHeight="1">
      <x:c r="A47" s="9">
        <x:v>42</x:v>
      </x:c>
      <x:c r="B47" s="9" t="inlineStr">
        <x:is>
          <x:t xml:space="preserve">SE2-D14-DB</x:t>
        </x:is>
      </x:c>
      <x:c r="C47" s="9" t="str">
        <x:v>Đợt 3</x:v>
      </x:c>
      <x:c r="D47" s="9" t="inlineStr">
        <x:is>
          <x:t xml:space="preserve">D14</x:t>
        </x:is>
      </x:c>
      <x:c r="E47" s="9" t="inlineStr">
        <x:is>
          <x:t xml:space="preserve">FR-12</x:t>
        </x:is>
      </x:c>
      <x:c r="F47" s="5" t="inlineStr">
        <x:is>
          <x:t xml:space="preserve">Staging, backup restore &amp; smoke</x:t>
        </x:is>
      </x:c>
      <x:c r="G47" s="5" t="inlineStr">
        <x:is>
          <x:t xml:space="preserve">1. Lập backup pre-release MySQL và restore thử
2. Triển khai lên staging/test không ảnh hưởng production
3. Chạy smoke trên 3 Docker services
4. Chuẩn bị rollback image + database khi deploy</x:t>
        </x:is>
      </x:c>
      <x:c r="H47" s="5" t="inlineStr">
        <x:is>
          <x:t xml:space="preserve">Phạm Hương Quỳnh</x:t>
        </x:is>
      </x:c>
      <x:c r="I47" s="5" t="str">
        <x:v>feature/quynh</x:v>
      </x:c>
      <x:c r="J47" s="28" t="n">
        <x:v>46339</x:v>
      </x:c>
      <x:c r="K47" s="28" t="n">
        <x:v>46339</x:v>
      </x:c>
      <x:c r="L47" s="9">
        <x:v>1</x:v>
      </x:c>
      <x:c r="M47" s="9" t="inlineStr">
        <x:is>
          <x:t xml:space="preserve">Cao</x:t>
        </x:is>
      </x:c>
      <x:c r="N47" s="9" t="inlineStr">
        <x:is>
          <x:t xml:space="preserve">Chưa làm</x:t>
        </x:is>
      </x:c>
      <x:c r="O47" s="11">
        <x:v>0</x:v>
      </x:c>
      <x:c r="P47" s="5" t="inlineStr">
        <x:is>
          <x:t xml:space="preserve">Bản staging PASS, phương án rollback</x:t>
        </x:is>
      </x:c>
      <x:c r="Q47" s="5" t="inlineStr">
        <x:is>
          <x:t xml:space="preserve"/>
        </x:is>
      </x:c>
      <x:c r="R47" s="5" t="inlineStr">
        <x:is>
          <x:t xml:space="preserve"/>
        </x:is>
      </x:c>
    </x:row>
    <x:row r="48" ht="80" customHeight="1">
      <x:c r="A48" s="8">
        <x:v>43</x:v>
      </x:c>
      <x:c r="B48" s="8" t="inlineStr">
        <x:is>
          <x:t xml:space="preserve">SE2-D15-BE</x:t>
        </x:is>
      </x:c>
      <x:c r="C48" s="8" t="str">
        <x:v>Nghiệm thu D15</x:v>
      </x:c>
      <x:c r="D48" s="8" t="inlineStr">
        <x:is>
          <x:t xml:space="preserve">D15</x:t>
        </x:is>
      </x:c>
      <x:c r="E48" s="8" t="inlineStr">
        <x:is>
          <x:t xml:space="preserve">FR-12</x:t>
        </x:is>
      </x:c>
      <x:c r="F48" s="4" t="inlineStr">
        <x:is>
          <x:t xml:space="preserve">Chốt SRS, API, README &amp; phát hành</x:t>
        </x:is>
      </x:c>
      <x:c r="G48" s="4" t="inlineStr">
        <x:is>
          <x:t xml:space="preserve">1. Đối chiếu tất cả mã FR với bằng chứng test
2. Hoàn thiện SRS và hướng dẫn cài đặt/khởi chạy
3. Kiểm tra PR dev → main sau reviewer approve
4. Ghi commit SHA và ngày nghiệm thu</x:t>
        </x:is>
      </x:c>
      <x:c r="H48" s="4" t="inlineStr">
        <x:is>
          <x:t xml:space="preserve">Tô Anh Tuấn</x:t>
        </x:is>
      </x:c>
      <x:c r="I48" s="4" t="str">
        <x:v>feature/tuan</x:v>
      </x:c>
      <x:c r="J48" s="27" t="n">
        <x:v>46342</x:v>
      </x:c>
      <x:c r="K48" s="27" t="n">
        <x:v>46342</x:v>
      </x:c>
      <x:c r="L48" s="8">
        <x:v>1</x:v>
      </x:c>
      <x:c r="M48" s="8" t="inlineStr">
        <x:is>
          <x:t xml:space="preserve">Cao</x:t>
        </x:is>
      </x:c>
      <x:c r="N48" s="8" t="inlineStr">
        <x:is>
          <x:t xml:space="preserve">Chưa làm</x:t>
        </x:is>
      </x:c>
      <x:c r="O48" s="10">
        <x:v>0</x:v>
      </x:c>
      <x:c r="P48" s="4" t="inlineStr">
        <x:is>
          <x:t xml:space="preserve">Bộ tài liệu bản phát hành đầy đủ</x:t>
        </x:is>
      </x:c>
      <x:c r="Q48" s="4" t="inlineStr">
        <x:is>
          <x:t xml:space="preserve"/>
        </x:is>
      </x:c>
      <x:c r="R48" s="4" t="inlineStr">
        <x:is>
          <x:t xml:space="preserve"/>
        </x:is>
      </x:c>
    </x:row>
    <x:row r="49" ht="80" customHeight="1">
      <x:c r="A49" s="9">
        <x:v>44</x:v>
      </x:c>
      <x:c r="B49" s="9" t="inlineStr">
        <x:is>
          <x:t xml:space="preserve">SE2-D15-FE</x:t>
        </x:is>
      </x:c>
      <x:c r="C49" s="9" t="str">
        <x:v>Nghiệm thu D15</x:v>
      </x:c>
      <x:c r="D49" s="9" t="inlineStr">
        <x:is>
          <x:t xml:space="preserve">D15</x:t>
        </x:is>
      </x:c>
      <x:c r="E49" s="9" t="inlineStr">
        <x:is>
          <x:t xml:space="preserve">FR-11,FR-12</x:t>
        </x:is>
      </x:c>
      <x:c r="F49" s="5" t="inlineStr">
        <x:is>
          <x:t xml:space="preserve">Hoàn thiện demo SmartExpense 2.0</x:t>
        </x:is>
      </x:c>
      <x:c r="G49" s="5" t="inlineStr">
        <x:is>
          <x:t xml:space="preserve">1. Kiểm thử lần cuối các trang chính
2. Chụp ảnh Demo, mô tả chức năng mới
3. Kiểm tra responsive và xử lý lỗi nhỏ
4. Review và bàn giao UI assets/README</x:t>
        </x:is>
      </x:c>
      <x:c r="H49" s="5" t="inlineStr">
        <x:is>
          <x:t xml:space="preserve">Trần Thị Thu Trang</x:t>
        </x:is>
      </x:c>
      <x:c r="I49" s="5" t="str">
        <x:v>feature/trang</x:v>
      </x:c>
      <x:c r="J49" s="28" t="n">
        <x:v>46342</x:v>
      </x:c>
      <x:c r="K49" s="28" t="n">
        <x:v>46342</x:v>
      </x:c>
      <x:c r="L49" s="9">
        <x:v>1</x:v>
      </x:c>
      <x:c r="M49" s="9" t="inlineStr">
        <x:is>
          <x:t xml:space="preserve">Cao</x:t>
        </x:is>
      </x:c>
      <x:c r="N49" s="9" t="inlineStr">
        <x:is>
          <x:t xml:space="preserve">Chưa làm</x:t>
        </x:is>
      </x:c>
      <x:c r="O49" s="11">
        <x:v>0</x:v>
      </x:c>
      <x:c r="P49" s="5" t="inlineStr">
        <x:is>
          <x:t xml:space="preserve">Demo giao diện sẵn sàng nghiệm thu</x:t>
        </x:is>
      </x:c>
      <x:c r="Q49" s="5" t="inlineStr">
        <x:is>
          <x:t xml:space="preserve"/>
        </x:is>
      </x:c>
      <x:c r="R49" s="5" t="inlineStr">
        <x:is>
          <x:t xml:space="preserve"/>
        </x:is>
      </x:c>
    </x:row>
    <x:row r="50" ht="80" customHeight="1">
      <x:c r="A50" s="8">
        <x:v>45</x:v>
      </x:c>
      <x:c r="B50" s="8" t="inlineStr">
        <x:is>
          <x:t xml:space="preserve">SE2-D15-DB</x:t>
        </x:is>
      </x:c>
      <x:c r="C50" s="8" t="str">
        <x:v>Nghiệm thu D15</x:v>
      </x:c>
      <x:c r="D50" s="8" t="inlineStr">
        <x:is>
          <x:t xml:space="preserve">D15</x:t>
        </x:is>
      </x:c>
      <x:c r="E50" s="8" t="inlineStr">
        <x:is>
          <x:t xml:space="preserve">FR-12</x:t>
        </x:is>
      </x:c>
      <x:c r="F50" s="4" t="inlineStr">
        <x:is>
          <x:t xml:space="preserve">Triển khai có kiểm soát &amp; nghiệm thu Production</x:t>
        </x:is>
      </x:c>
      <x:c r="G50" s="4" t="inlineStr">
        <x:is>
          <x:t xml:space="preserve">1. Xác nhận backup và CI/CD pass
2. Triển khai release sau phê duyệt
3. Smoke Auth/Category/Transaction/Calendar/Budget/Report/CSV
4. Ghi status 3 container/HTTPS, biên bản PASS/FAIL</x:t>
        </x:is>
      </x:c>
      <x:c r="H50" s="4" t="inlineStr">
        <x:is>
          <x:t xml:space="preserve">Phạm Hương Quỳnh</x:t>
        </x:is>
      </x:c>
      <x:c r="I50" s="4" t="str">
        <x:v>feature/quynh</x:v>
      </x:c>
      <x:c r="J50" s="27" t="n">
        <x:v>46342</x:v>
      </x:c>
      <x:c r="K50" s="27" t="n">
        <x:v>46342</x:v>
      </x:c>
      <x:c r="L50" s="8">
        <x:v>1</x:v>
      </x:c>
      <x:c r="M50" s="8" t="inlineStr">
        <x:is>
          <x:t xml:space="preserve">Cao</x:t>
        </x:is>
      </x:c>
      <x:c r="N50" s="8" t="inlineStr">
        <x:is>
          <x:t xml:space="preserve">Chưa làm</x:t>
        </x:is>
      </x:c>
      <x:c r="O50" s="10">
        <x:v>0</x:v>
      </x:c>
      <x:c r="P50" s="4" t="inlineStr">
        <x:is>
          <x:t xml:space="preserve">Checklist release production được ký xác nhận</x:t>
        </x:is>
      </x:c>
      <x:c r="Q50" s="4" t="inlineStr">
        <x:is>
          <x:t xml:space="preserve"/>
        </x:is>
      </x:c>
      <x:c r="R50" s="4" t="inlineStr">
        <x:is>
          <x:t xml:space="preserve"/>
        </x:is>
      </x:c>
    </x:row>
  </x:sheetData>
  <x:mergeCells>
    <x:mergeCell ref="A1:R1"/>
    <x:mergeCell ref="A2:R2"/>
    <x:mergeCell ref="A3:R3"/>
  </x:mergeCells>
  <x:dataValidations count="1">
    <x:dataValidation type="list" allowBlank="0" showErrorMessage="1" sqref="N6:N50">
      <x:formula1>"Chưa làm,Đang làm,Chờ kiểm tra,Hoàn thành,Bị chặn"</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20"/>
  <x:cols>
    <x:col min="1" max="1" width="8" customWidth="1"/>
    <x:col min="2" max="2" width="27" customWidth="1"/>
    <x:col min="3" max="3" width="26" customWidth="1"/>
    <x:col min="4" max="4" width="65" customWidth="1"/>
    <x:col min="5" max="5" width="42" customWidth="1"/>
    <x:col min="6" max="6" width="15" customWidth="1"/>
    <x:col min="7" max="7" width="16" customWidth="1"/>
    <x:col min="8" max="8" width="18" customWidth="1"/>
    <x:col min="9" max="9" width="18" customWidth="1"/>
  </x:cols>
  <x:sheetData>
    <x:row r="1" ht="35" customHeight="1">
      <x:c r="A1" s="1" t="inlineStr">
        <x:is>
          <x:t xml:space="preserve">SMARTEXPENSE 2.0 – DANH SÁCH NHÂN SỰ DỰ ÁN</x:t>
        </x:is>
      </x:c>
    </x:row>
    <x:row r="2" ht="27" customHeight="1">
      <x:c r="A2" s="2" t="str">
        <x:v>3 THÀNH VIÊN | 15 NGÀY T2–T6, D01: 27/10/2026 → D15: 16/11/2026 | DỰ PHÒNG: 23–27/11</x:v>
      </x:c>
    </x:row>
    <x:row r="4" ht="35" customHeight="1">
      <x:c r="A4" s="3" t="inlineStr">
        <x:is>
          <x:t xml:space="preserve">STT</x:t>
        </x:is>
      </x:c>
      <x:c r="B4" s="3" t="inlineStr">
        <x:is>
          <x:t xml:space="preserve">Họ và tên</x:t>
        </x:is>
      </x:c>
      <x:c r="C4" s="3" t="inlineStr">
        <x:is>
          <x:t xml:space="preserve">Vai trò</x:t>
        </x:is>
      </x:c>
      <x:c r="D4" s="3" t="inlineStr">
        <x:is>
          <x:t xml:space="preserve">Nhiệm vụ</x:t>
        </x:is>
      </x:c>
      <x:c r="E4" s="3" t="inlineStr">
        <x:is>
          <x:t xml:space="preserve">Nhánh Git</x:t>
        </x:is>
      </x:c>
      <x:c r="F4" s="3" t="inlineStr">
        <x:is>
          <x:t xml:space="preserve">Số task</x:t>
        </x:is>
      </x:c>
      <x:c r="G4" s="3" t="inlineStr">
        <x:is>
          <x:t xml:space="preserve">Số ngày</x:t>
        </x:is>
      </x:c>
      <x:c r="H4" s="3" t="inlineStr">
        <x:is>
          <x:t xml:space="preserve">Bắt đầu</x:t>
        </x:is>
      </x:c>
      <x:c r="I4" s="3" t="inlineStr">
        <x:is>
          <x:t xml:space="preserve">Kết thúc</x:t>
        </x:is>
      </x:c>
    </x:row>
    <x:row r="5" ht="75" customHeight="1">
      <x:c r="A5" s="8">
        <x:v>1</x:v>
      </x:c>
      <x:c r="B5" s="4" t="inlineStr">
        <x:is>
          <x:t xml:space="preserve">Tô Anh Tuấn</x:t>
        </x:is>
      </x:c>
      <x:c r="C5" s="4" t="inlineStr">
        <x:is>
          <x:t xml:space="preserve">Backend + Documentation</x:t>
        </x:is>
      </x:c>
      <x:c r="D5" s="4" t="inlineStr">
        <x:is>
          <x:t xml:space="preserve">Spring Boot API, JWT, SRS, Backend tests</x:t>
        </x:is>
      </x:c>
      <x:c r="E5" s="4" t="str">
        <x:v>feature/tuan</x:v>
      </x:c>
      <x:c r="F5" s="8" t="n">
        <x:f>COUNTIF('Master plan'!$H$6:$H$50,B5)</x:f>
        <x:v>15</x:v>
      </x:c>
      <x:c r="G5" s="8">
        <x:v>15</x:v>
      </x:c>
      <x:c r="H5" s="27" t="n">
        <x:v>46322</x:v>
      </x:c>
      <x:c r="I5" s="27" t="n">
        <x:v>46342</x:v>
      </x:c>
    </x:row>
    <x:row r="6" ht="75" customHeight="1">
      <x:c r="A6" s="8">
        <x:v>2</x:v>
      </x:c>
      <x:c r="B6" s="4" t="inlineStr">
        <x:is>
          <x:t xml:space="preserve">Trần Thị Thu Trang</x:t>
        </x:is>
      </x:c>
      <x:c r="C6" s="4" t="inlineStr">
        <x:is>
          <x:t xml:space="preserve">Frontend</x:t>
        </x:is>
      </x:c>
      <x:c r="D6" s="4" t="inlineStr">
        <x:is>
          <x:t xml:space="preserve">React/UI/UX, Calendar, Budget, Recurring, Reports</x:t>
        </x:is>
      </x:c>
      <x:c r="E6" s="4" t="str">
        <x:v>feature/trang</x:v>
      </x:c>
      <x:c r="F6" s="8" t="n">
        <x:f>COUNTIF('Master plan'!$H$6:$H$50,B6)</x:f>
        <x:v>15</x:v>
      </x:c>
      <x:c r="G6" s="8">
        <x:v>15</x:v>
      </x:c>
      <x:c r="H6" s="27" t="n">
        <x:v>46322</x:v>
      </x:c>
      <x:c r="I6" s="27" t="n">
        <x:v>46342</x:v>
      </x:c>
    </x:row>
    <x:row r="7" ht="75" customHeight="1">
      <x:c r="A7" s="8">
        <x:v>3</x:v>
      </x:c>
      <x:c r="B7" s="4" t="inlineStr">
        <x:is>
          <x:t xml:space="preserve">Phạm Hương Quỳnh</x:t>
        </x:is>
      </x:c>
      <x:c r="C7" s="4" t="inlineStr">
        <x:is>
          <x:t xml:space="preserve">Database + QA + DevOps</x:t>
        </x:is>
      </x:c>
      <x:c r="D7" s="4" t="inlineStr">
        <x:is>
          <x:t xml:space="preserve">Migration/Backup/QA/CI/CD/VPS</x:t>
        </x:is>
      </x:c>
      <x:c r="E7" s="4" t="str">
        <x:v>feature/quynh</x:v>
      </x:c>
      <x:c r="F7" s="8" t="n">
        <x:f>COUNTIF('Master plan'!$H$6:$H$50,B7)</x:f>
        <x:v>15</x:v>
      </x:c>
      <x:c r="G7" s="8">
        <x:v>15</x:v>
      </x:c>
      <x:c r="H7" s="27" t="n">
        <x:v>46322</x:v>
      </x:c>
      <x:c r="I7" s="27" t="n">
        <x:v>46342</x:v>
      </x:c>
    </x:row>
    <x:row r="9" ht="29" customHeight="1">
      <x:c r="A9" s="12" t="inlineStr">
        <x:is>
          <x:t xml:space="preserve">TỔNG</x:t>
        </x:is>
      </x:c>
      <x:c r="F9" s="12" t="n">
        <x:f>SUM(F5:F7)</x:f>
        <x:v>45</x:v>
      </x:c>
      <x:c r="G9" s="12">
        <x:v>15</x:v>
      </x:c>
    </x:row>
    <x:row r="11" ht="26" customHeight="1">
      <x:c r="A11" s="13" t="str">
        <x:v>Git: feature/tuan / feature/trang / feature/quynh → push/PR về dev → review + CI PASS → merge main sau duyệt.</x:v>
      </x:c>
    </x:row>
    <x:row r="12">
      <x:c r="A12" t="str">
        <x:v>Giai đoạn: Đợt 1 (27/10–01/11: 4 ngày T3–T6); Đợt 2 (02–06/11: 5 ngày); Đợt 3 (09–13/11: 5 ngày); D15 (16/11: nghiệm thu).</x:v>
      </x:c>
    </x:row>
    <x:row r="13" ht="26" customHeight="1">
      <x:c r="A13" s="13" t="inlineStr">
        <x:is>
          <x:t xml:space="preserve">Ngày 27/10 vừa chuẩn bị tài liệu vừa thực hiện D01; tuần dự phòng: 23–27/11/2026.</x:t>
        </x:is>
      </x:c>
    </x:row>
  </x:sheetData>
  <x:mergeCells>
    <x:mergeCell ref="A1:I1"/>
    <x:mergeCell ref="A2:I2"/>
    <x:mergeCell ref="A11:I11"/>
    <x:mergeCell ref="A13:I13"/>
  </x:mergeCells>
  <x:pageMargins left="0.7" right="0.7" top="0.75" bottom="0.75" header="0.3" footer="0.3"/>
</x:worksheet>
</file>